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drawings/drawing1.xml" ContentType="application/vnd.openxmlformats-officedocument.drawing+xml"/>
  <Override PartName="/xl/tables/table4.xml" ContentType="application/vnd.openxmlformats-officedocument.spreadsheetml.table+xml"/>
  <Override PartName="/xl/queryTables/queryTable4.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defaultThemeVersion="166925"/>
  <mc:AlternateContent xmlns:mc="http://schemas.openxmlformats.org/markup-compatibility/2006">
    <mc:Choice Requires="x15">
      <x15ac:absPath xmlns:x15ac="http://schemas.microsoft.com/office/spreadsheetml/2010/11/ac" url="D:\HP Fanfiction\Other_Fanfics\"/>
    </mc:Choice>
  </mc:AlternateContent>
  <xr:revisionPtr revIDLastSave="0" documentId="13_ncr:1_{B91526DA-8A62-421A-9BB0-122D712F356A}" xr6:coauthVersionLast="47" xr6:coauthVersionMax="47" xr10:uidLastSave="{00000000-0000-0000-0000-000000000000}"/>
  <bookViews>
    <workbookView xWindow="-108" yWindow="-108" windowWidth="23256" windowHeight="12576" activeTab="3" xr2:uid="{B39EF016-BEDA-4D91-8E21-FC81487FEE7D}"/>
  </bookViews>
  <sheets>
    <sheet name="Summary" sheetId="13" r:id="rId1"/>
    <sheet name="Spearman" sheetId="10" r:id="rId2"/>
    <sheet name="Cronbach Alpha" sheetId="11" r:id="rId3"/>
    <sheet name="Hits Correlation" sheetId="12" r:id="rId4"/>
    <sheet name="Scores" sheetId="3" r:id="rId5"/>
    <sheet name="Dataset" sheetId="4" r:id="rId6"/>
  </sheets>
  <definedNames>
    <definedName name="ExternalData_1" localSheetId="2" hidden="1">'Cronbach Alpha'!$A$1:$X$31</definedName>
    <definedName name="ExternalData_1" localSheetId="3" hidden="1">'Hits Correlation'!$A$1:$N$29</definedName>
    <definedName name="ExternalData_1" localSheetId="1" hidden="1">Spearman!$A$1:$E$31</definedName>
    <definedName name="ExternalData_1" localSheetId="0" hidden="1">Summary!$A$1:$O$42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31" i="12" l="1"/>
  <c r="L33" i="12" s="1"/>
  <c r="BD2" i="3"/>
  <c r="BD3" i="3"/>
  <c r="BJ3" i="3" s="1"/>
  <c r="BD4" i="3"/>
  <c r="BJ4" i="3" s="1"/>
  <c r="BD5" i="3"/>
  <c r="BJ5" i="3" s="1"/>
  <c r="BD6" i="3"/>
  <c r="BJ6" i="3" s="1"/>
  <c r="BD7" i="3"/>
  <c r="BJ7" i="3" s="1"/>
  <c r="BD8" i="3"/>
  <c r="BJ8" i="3" s="1"/>
  <c r="BD9" i="3"/>
  <c r="BD10" i="3"/>
  <c r="BD11" i="3"/>
  <c r="BD12" i="3"/>
  <c r="BD13" i="3"/>
  <c r="BD14" i="3"/>
  <c r="BJ14" i="3" s="1"/>
  <c r="BD15" i="3"/>
  <c r="BJ15" i="3" s="1"/>
  <c r="BD16" i="3"/>
  <c r="BD17" i="3"/>
  <c r="BJ17" i="3" s="1"/>
  <c r="BD18" i="3"/>
  <c r="BJ18" i="3" s="1"/>
  <c r="BD19" i="3"/>
  <c r="BJ19" i="3" s="1"/>
  <c r="BD20" i="3"/>
  <c r="BJ20" i="3" s="1"/>
  <c r="BD21" i="3"/>
  <c r="BD22" i="3"/>
  <c r="BD23" i="3"/>
  <c r="BD24" i="3"/>
  <c r="BD25" i="3"/>
  <c r="BD26" i="3"/>
  <c r="BD27" i="3"/>
  <c r="BD28" i="3"/>
  <c r="BJ28" i="3" s="1"/>
  <c r="BD29" i="3"/>
  <c r="BJ29" i="3" s="1"/>
  <c r="BD30" i="3"/>
  <c r="BJ30" i="3" s="1"/>
  <c r="BD31" i="3"/>
  <c r="BJ31" i="3" s="1"/>
  <c r="BD32" i="3"/>
  <c r="BD33" i="3"/>
  <c r="BD34" i="3"/>
  <c r="BD35" i="3"/>
  <c r="BD36" i="3"/>
  <c r="BJ36" i="3" s="1"/>
  <c r="BD37" i="3"/>
  <c r="BD38" i="3"/>
  <c r="BJ38" i="3" s="1"/>
  <c r="BD39" i="3"/>
  <c r="BJ39" i="3" s="1"/>
  <c r="BD40" i="3"/>
  <c r="BJ40" i="3" s="1"/>
  <c r="BD41" i="3"/>
  <c r="BJ41" i="3" s="1"/>
  <c r="BD42" i="3"/>
  <c r="BJ42" i="3" s="1"/>
  <c r="BD43" i="3"/>
  <c r="BJ43" i="3" s="1"/>
  <c r="BD44" i="3"/>
  <c r="BJ44" i="3" s="1"/>
  <c r="BJ2" i="3"/>
  <c r="BJ13" i="3"/>
  <c r="BJ25" i="3"/>
  <c r="BJ26" i="3"/>
  <c r="BJ32" i="3"/>
  <c r="BJ35" i="3"/>
  <c r="BJ9" i="3"/>
  <c r="BJ21" i="3"/>
  <c r="BJ27" i="3"/>
  <c r="BJ33" i="3"/>
  <c r="BJ37" i="3"/>
  <c r="BJ10" i="3"/>
  <c r="BJ11" i="3"/>
  <c r="BJ12" i="3"/>
  <c r="BJ16" i="3"/>
  <c r="BJ22" i="3"/>
  <c r="BJ23" i="3"/>
  <c r="BJ24" i="3"/>
  <c r="BJ34" i="3"/>
  <c r="BF17" i="3"/>
  <c r="BE17" i="3"/>
  <c r="BC17" i="3"/>
  <c r="BG17" i="3" s="1"/>
  <c r="L17" i="3"/>
  <c r="M17" i="3"/>
  <c r="N17" i="3"/>
  <c r="O17" i="3"/>
  <c r="P17" i="3"/>
  <c r="Q17" i="3"/>
  <c r="AE17" i="3"/>
  <c r="AF17" i="3"/>
  <c r="AG17" i="3"/>
  <c r="AH17" i="3"/>
  <c r="AI17" i="3"/>
  <c r="AJ17" i="3"/>
  <c r="AO17" i="3"/>
  <c r="AP17" i="3"/>
  <c r="AQ17" i="3"/>
  <c r="AR17" i="3"/>
  <c r="A61" i="3"/>
  <c r="A59" i="3"/>
  <c r="A60" i="3"/>
  <c r="A58" i="3"/>
  <c r="A57" i="3"/>
  <c r="C34" i="12"/>
  <c r="G32" i="12"/>
  <c r="C32" i="12"/>
  <c r="G31" i="12"/>
  <c r="C31" i="12"/>
  <c r="BF29" i="3"/>
  <c r="BF2" i="3"/>
  <c r="BF12" i="3"/>
  <c r="BF6" i="3"/>
  <c r="BF3" i="3"/>
  <c r="BF24" i="3"/>
  <c r="BF8" i="3"/>
  <c r="BF4" i="3"/>
  <c r="BF36" i="3"/>
  <c r="BF10" i="3"/>
  <c r="BF5" i="3"/>
  <c r="BF34" i="3"/>
  <c r="BF28" i="3"/>
  <c r="BF15" i="3"/>
  <c r="BF43" i="3"/>
  <c r="BF16" i="3"/>
  <c r="BF9" i="3"/>
  <c r="BF38" i="3"/>
  <c r="BF21" i="3"/>
  <c r="BF14" i="3"/>
  <c r="BF26" i="3"/>
  <c r="BF25" i="3"/>
  <c r="BF42" i="3"/>
  <c r="BF33" i="3"/>
  <c r="BF37" i="3"/>
  <c r="BF27" i="3"/>
  <c r="BF7" i="3"/>
  <c r="BF31" i="3"/>
  <c r="BF30" i="3"/>
  <c r="BF32" i="3"/>
  <c r="BF23" i="3"/>
  <c r="BF40" i="3"/>
  <c r="BF35" i="3"/>
  <c r="BF19" i="3"/>
  <c r="BF11" i="3"/>
  <c r="BF20" i="3"/>
  <c r="BF39" i="3"/>
  <c r="BF18" i="3"/>
  <c r="BF41" i="3"/>
  <c r="BF22" i="3"/>
  <c r="BF13" i="3"/>
  <c r="BF44" i="3"/>
  <c r="BE6" i="3"/>
  <c r="BE29" i="3"/>
  <c r="BE2" i="3"/>
  <c r="BE12" i="3"/>
  <c r="BE3" i="3"/>
  <c r="BE24" i="3"/>
  <c r="BE8" i="3"/>
  <c r="BE4" i="3"/>
  <c r="BE36" i="3"/>
  <c r="BE10" i="3"/>
  <c r="BE5" i="3"/>
  <c r="BE34" i="3"/>
  <c r="BE28" i="3"/>
  <c r="BE15" i="3"/>
  <c r="BE43" i="3"/>
  <c r="BE16" i="3"/>
  <c r="BE9" i="3"/>
  <c r="BE38" i="3"/>
  <c r="BE21" i="3"/>
  <c r="BE14" i="3"/>
  <c r="BE26" i="3"/>
  <c r="BE25" i="3"/>
  <c r="BE42" i="3"/>
  <c r="BE33" i="3"/>
  <c r="BE37" i="3"/>
  <c r="BE27" i="3"/>
  <c r="BE7" i="3"/>
  <c r="BE31" i="3"/>
  <c r="BE30" i="3"/>
  <c r="BE32" i="3"/>
  <c r="BE23" i="3"/>
  <c r="BE40" i="3"/>
  <c r="BE35" i="3"/>
  <c r="BE19" i="3"/>
  <c r="BE11" i="3"/>
  <c r="BE20" i="3"/>
  <c r="BE39" i="3"/>
  <c r="BE18" i="3"/>
  <c r="BE41" i="3"/>
  <c r="BE22" i="3"/>
  <c r="BE13" i="3"/>
  <c r="BE44" i="3"/>
  <c r="BC29" i="3"/>
  <c r="BC2" i="3"/>
  <c r="BC12" i="3"/>
  <c r="BC6" i="3"/>
  <c r="BC3" i="3"/>
  <c r="BC24" i="3"/>
  <c r="BG24" i="3" s="1"/>
  <c r="BC8" i="3"/>
  <c r="BG8" i="3" s="1"/>
  <c r="BC4" i="3"/>
  <c r="BC36" i="3"/>
  <c r="BC10" i="3"/>
  <c r="BG10" i="3" s="1"/>
  <c r="BC5" i="3"/>
  <c r="BC34" i="3"/>
  <c r="BG34" i="3" s="1"/>
  <c r="BC28" i="3"/>
  <c r="BC15" i="3"/>
  <c r="BC43" i="3"/>
  <c r="BC16" i="3"/>
  <c r="BC9" i="3"/>
  <c r="BG9" i="3" s="1"/>
  <c r="BC38" i="3"/>
  <c r="BC21" i="3"/>
  <c r="BC14" i="3"/>
  <c r="BC26" i="3"/>
  <c r="BC25" i="3"/>
  <c r="BG25" i="3" s="1"/>
  <c r="BC42" i="3"/>
  <c r="BC33" i="3"/>
  <c r="BC37" i="3"/>
  <c r="BC27" i="3"/>
  <c r="BC7" i="3"/>
  <c r="BC31" i="3"/>
  <c r="BC30" i="3"/>
  <c r="BC32" i="3"/>
  <c r="BC23" i="3"/>
  <c r="BC40" i="3"/>
  <c r="BC35" i="3"/>
  <c r="BG35" i="3" s="1"/>
  <c r="BC19" i="3"/>
  <c r="BC11" i="3"/>
  <c r="BC20" i="3"/>
  <c r="BC39" i="3"/>
  <c r="BC18" i="3"/>
  <c r="BC41" i="3"/>
  <c r="BC22" i="3"/>
  <c r="BC13" i="3"/>
  <c r="BG13" i="3" s="1"/>
  <c r="BC44" i="3"/>
  <c r="X36" i="11"/>
  <c r="X35" i="11"/>
  <c r="X34" i="11"/>
  <c r="X33" i="11"/>
  <c r="Z3" i="11"/>
  <c r="Z4" i="11"/>
  <c r="Z5" i="11"/>
  <c r="Z6" i="11"/>
  <c r="Z7" i="11"/>
  <c r="Z8" i="11"/>
  <c r="Z9" i="11"/>
  <c r="Z10" i="11"/>
  <c r="Z11" i="11"/>
  <c r="Z12" i="11"/>
  <c r="Z13" i="11"/>
  <c r="Z14" i="11"/>
  <c r="Z15" i="11"/>
  <c r="Z16" i="11"/>
  <c r="Z17" i="11"/>
  <c r="Z18" i="11"/>
  <c r="Z19" i="11"/>
  <c r="Z20" i="11"/>
  <c r="Z21" i="11"/>
  <c r="Z22" i="11"/>
  <c r="Z23" i="11"/>
  <c r="Z24" i="11"/>
  <c r="Z25" i="11"/>
  <c r="Z26" i="11"/>
  <c r="Z27" i="11"/>
  <c r="Z28" i="11"/>
  <c r="Z29" i="11"/>
  <c r="Z30" i="11"/>
  <c r="Z31" i="11"/>
  <c r="Z2" i="11"/>
  <c r="AL17" i="3" l="1"/>
  <c r="AK17" i="3" s="1"/>
  <c r="AT17" i="3"/>
  <c r="AS17" i="3"/>
  <c r="S17" i="3"/>
  <c r="R17" i="3" s="1"/>
  <c r="AM17" i="3"/>
  <c r="T17" i="3"/>
  <c r="BG11" i="3"/>
  <c r="BG26" i="3"/>
  <c r="BG36" i="3"/>
  <c r="BG21" i="3"/>
  <c r="BG23" i="3"/>
  <c r="BG38" i="3"/>
  <c r="BG12" i="3"/>
  <c r="BG37" i="3"/>
  <c r="BG33" i="3"/>
  <c r="BG22" i="3"/>
  <c r="BG44" i="3"/>
  <c r="BG32" i="3"/>
  <c r="BG20" i="3"/>
  <c r="BG7" i="3"/>
  <c r="BG43" i="3"/>
  <c r="BG31" i="3"/>
  <c r="BG19" i="3"/>
  <c r="BG6" i="3"/>
  <c r="BG42" i="3"/>
  <c r="BG30" i="3"/>
  <c r="BG18" i="3"/>
  <c r="BG5" i="3"/>
  <c r="BG41" i="3"/>
  <c r="BG29" i="3"/>
  <c r="BG16" i="3"/>
  <c r="BG4" i="3"/>
  <c r="BG40" i="3"/>
  <c r="BG28" i="3"/>
  <c r="BG15" i="3"/>
  <c r="BG3" i="3"/>
  <c r="BG39" i="3"/>
  <c r="BG27" i="3"/>
  <c r="BG14" i="3"/>
  <c r="BG2" i="3"/>
  <c r="Z33" i="11"/>
  <c r="Z35" i="11" s="1"/>
  <c r="B36" i="11" s="1"/>
  <c r="C35" i="12"/>
  <c r="C33" i="11"/>
  <c r="D33" i="11"/>
  <c r="E33" i="11"/>
  <c r="F33" i="11"/>
  <c r="G33" i="11"/>
  <c r="H33" i="11"/>
  <c r="I33" i="11"/>
  <c r="J33" i="11"/>
  <c r="K33" i="11"/>
  <c r="L33" i="11"/>
  <c r="M33" i="11"/>
  <c r="N33" i="11"/>
  <c r="O33" i="11"/>
  <c r="P33" i="11"/>
  <c r="Q33" i="11"/>
  <c r="R33" i="11"/>
  <c r="S33" i="11"/>
  <c r="T33" i="11"/>
  <c r="U33" i="11"/>
  <c r="V33" i="11"/>
  <c r="W33" i="11"/>
  <c r="B33" i="11"/>
  <c r="E33" i="10"/>
  <c r="E35" i="10" s="1"/>
  <c r="AR3" i="3"/>
  <c r="AR2" i="3"/>
  <c r="AR5" i="3"/>
  <c r="AR4" i="3"/>
  <c r="AR6" i="3"/>
  <c r="AR9" i="3"/>
  <c r="AR8" i="3"/>
  <c r="AR7" i="3"/>
  <c r="AR11" i="3"/>
  <c r="AR16" i="3"/>
  <c r="AR12" i="3"/>
  <c r="AR10" i="3"/>
  <c r="AR13" i="3"/>
  <c r="AR18" i="3"/>
  <c r="AR14" i="3"/>
  <c r="AR24" i="3"/>
  <c r="AR23" i="3"/>
  <c r="AR19" i="3"/>
  <c r="AR20" i="3"/>
  <c r="AR26" i="3"/>
  <c r="AR22" i="3"/>
  <c r="AR15" i="3"/>
  <c r="AR21" i="3"/>
  <c r="AR28" i="3"/>
  <c r="AR29" i="3"/>
  <c r="AR36" i="3"/>
  <c r="AR32" i="3"/>
  <c r="AR33" i="3"/>
  <c r="AR25" i="3"/>
  <c r="AR30" i="3"/>
  <c r="AR27" i="3"/>
  <c r="AR34" i="3"/>
  <c r="AR31" i="3"/>
  <c r="AR37" i="3"/>
  <c r="AR35" i="3"/>
  <c r="AR39" i="3"/>
  <c r="AR38" i="3"/>
  <c r="AR42" i="3"/>
  <c r="AR40" i="3"/>
  <c r="AR41" i="3"/>
  <c r="AR43" i="3"/>
  <c r="AR44" i="3"/>
  <c r="AQ3" i="3"/>
  <c r="AQ2" i="3"/>
  <c r="AQ5" i="3"/>
  <c r="AQ4" i="3"/>
  <c r="AQ6" i="3"/>
  <c r="AQ9" i="3"/>
  <c r="AQ8" i="3"/>
  <c r="AQ7" i="3"/>
  <c r="AQ11" i="3"/>
  <c r="AQ16" i="3"/>
  <c r="AQ12" i="3"/>
  <c r="AQ10" i="3"/>
  <c r="AQ13" i="3"/>
  <c r="AQ18" i="3"/>
  <c r="AQ14" i="3"/>
  <c r="AQ24" i="3"/>
  <c r="AQ23" i="3"/>
  <c r="AQ19" i="3"/>
  <c r="AQ20" i="3"/>
  <c r="AQ26" i="3"/>
  <c r="AQ22" i="3"/>
  <c r="AQ15" i="3"/>
  <c r="AQ21" i="3"/>
  <c r="AQ28" i="3"/>
  <c r="AQ29" i="3"/>
  <c r="AQ36" i="3"/>
  <c r="AQ32" i="3"/>
  <c r="AQ33" i="3"/>
  <c r="AQ25" i="3"/>
  <c r="AQ30" i="3"/>
  <c r="AQ27" i="3"/>
  <c r="AQ34" i="3"/>
  <c r="AQ31" i="3"/>
  <c r="AQ37" i="3"/>
  <c r="AQ35" i="3"/>
  <c r="AQ39" i="3"/>
  <c r="AQ38" i="3"/>
  <c r="AQ42" i="3"/>
  <c r="AQ40" i="3"/>
  <c r="AQ41" i="3"/>
  <c r="AQ43" i="3"/>
  <c r="AQ44" i="3"/>
  <c r="AP3" i="3"/>
  <c r="AP2" i="3"/>
  <c r="AP5" i="3"/>
  <c r="AP4" i="3"/>
  <c r="AP6" i="3"/>
  <c r="AP9" i="3"/>
  <c r="AP8" i="3"/>
  <c r="AP7" i="3"/>
  <c r="AP11" i="3"/>
  <c r="AP16" i="3"/>
  <c r="AP12" i="3"/>
  <c r="AP10" i="3"/>
  <c r="AP13" i="3"/>
  <c r="AP18" i="3"/>
  <c r="AP14" i="3"/>
  <c r="AP24" i="3"/>
  <c r="AP23" i="3"/>
  <c r="AP19" i="3"/>
  <c r="AP20" i="3"/>
  <c r="AP26" i="3"/>
  <c r="AP22" i="3"/>
  <c r="AP15" i="3"/>
  <c r="AP21" i="3"/>
  <c r="AP28" i="3"/>
  <c r="AP29" i="3"/>
  <c r="AP36" i="3"/>
  <c r="AP32" i="3"/>
  <c r="AP33" i="3"/>
  <c r="AP25" i="3"/>
  <c r="AP30" i="3"/>
  <c r="AP27" i="3"/>
  <c r="AP34" i="3"/>
  <c r="AP31" i="3"/>
  <c r="AP37" i="3"/>
  <c r="AP35" i="3"/>
  <c r="AP39" i="3"/>
  <c r="AP38" i="3"/>
  <c r="AP42" i="3"/>
  <c r="AP40" i="3"/>
  <c r="AP41" i="3"/>
  <c r="AP43" i="3"/>
  <c r="AP44" i="3"/>
  <c r="AO3" i="3"/>
  <c r="AO2" i="3"/>
  <c r="AO5" i="3"/>
  <c r="AO4" i="3"/>
  <c r="AO6" i="3"/>
  <c r="AO9" i="3"/>
  <c r="AO8" i="3"/>
  <c r="AO7" i="3"/>
  <c r="AO11" i="3"/>
  <c r="AO16" i="3"/>
  <c r="AO12" i="3"/>
  <c r="AO10" i="3"/>
  <c r="AO13" i="3"/>
  <c r="AO18" i="3"/>
  <c r="AO14" i="3"/>
  <c r="AO24" i="3"/>
  <c r="AO23" i="3"/>
  <c r="AO19" i="3"/>
  <c r="AO20" i="3"/>
  <c r="AO26" i="3"/>
  <c r="AO22" i="3"/>
  <c r="AO15" i="3"/>
  <c r="AO21" i="3"/>
  <c r="AO28" i="3"/>
  <c r="AO29" i="3"/>
  <c r="AO36" i="3"/>
  <c r="AO32" i="3"/>
  <c r="AO33" i="3"/>
  <c r="AO25" i="3"/>
  <c r="AO30" i="3"/>
  <c r="AO27" i="3"/>
  <c r="AO34" i="3"/>
  <c r="AO31" i="3"/>
  <c r="AO37" i="3"/>
  <c r="AO35" i="3"/>
  <c r="AO39" i="3"/>
  <c r="AO38" i="3"/>
  <c r="AO42" i="3"/>
  <c r="AO40" i="3"/>
  <c r="AO41" i="3"/>
  <c r="AO43" i="3"/>
  <c r="AO44" i="3"/>
  <c r="AJ3" i="3"/>
  <c r="AJ2" i="3"/>
  <c r="AJ5" i="3"/>
  <c r="AJ4" i="3"/>
  <c r="AJ6" i="3"/>
  <c r="AJ9" i="3"/>
  <c r="AJ8" i="3"/>
  <c r="AJ7" i="3"/>
  <c r="AJ11" i="3"/>
  <c r="AJ16" i="3"/>
  <c r="AJ12" i="3"/>
  <c r="AJ10" i="3"/>
  <c r="AJ13" i="3"/>
  <c r="AJ18" i="3"/>
  <c r="AJ14" i="3"/>
  <c r="AJ24" i="3"/>
  <c r="AJ23" i="3"/>
  <c r="AJ19" i="3"/>
  <c r="AJ20" i="3"/>
  <c r="AJ26" i="3"/>
  <c r="AJ22" i="3"/>
  <c r="AJ15" i="3"/>
  <c r="AJ21" i="3"/>
  <c r="AJ28" i="3"/>
  <c r="AJ29" i="3"/>
  <c r="AJ36" i="3"/>
  <c r="AJ32" i="3"/>
  <c r="AJ33" i="3"/>
  <c r="AJ25" i="3"/>
  <c r="AJ30" i="3"/>
  <c r="AJ27" i="3"/>
  <c r="AJ34" i="3"/>
  <c r="AJ31" i="3"/>
  <c r="AJ37" i="3"/>
  <c r="AJ35" i="3"/>
  <c r="AJ39" i="3"/>
  <c r="AJ38" i="3"/>
  <c r="AJ42" i="3"/>
  <c r="AJ40" i="3"/>
  <c r="AJ41" i="3"/>
  <c r="AJ43" i="3"/>
  <c r="AJ44" i="3"/>
  <c r="AI3" i="3"/>
  <c r="AI2" i="3"/>
  <c r="AI5" i="3"/>
  <c r="AI4" i="3"/>
  <c r="AI6" i="3"/>
  <c r="AI9" i="3"/>
  <c r="AI8" i="3"/>
  <c r="AI7" i="3"/>
  <c r="AI11" i="3"/>
  <c r="AI16" i="3"/>
  <c r="AI12" i="3"/>
  <c r="AI10" i="3"/>
  <c r="AI13" i="3"/>
  <c r="AI18" i="3"/>
  <c r="AI14" i="3"/>
  <c r="AI24" i="3"/>
  <c r="AI23" i="3"/>
  <c r="AI19" i="3"/>
  <c r="AI20" i="3"/>
  <c r="AI26" i="3"/>
  <c r="AI22" i="3"/>
  <c r="AI15" i="3"/>
  <c r="AI21" i="3"/>
  <c r="AI28" i="3"/>
  <c r="AI29" i="3"/>
  <c r="AI36" i="3"/>
  <c r="AI32" i="3"/>
  <c r="AI33" i="3"/>
  <c r="AI25" i="3"/>
  <c r="AI30" i="3"/>
  <c r="AI27" i="3"/>
  <c r="AI34" i="3"/>
  <c r="AI31" i="3"/>
  <c r="AI37" i="3"/>
  <c r="AI35" i="3"/>
  <c r="AI39" i="3"/>
  <c r="AI38" i="3"/>
  <c r="AI42" i="3"/>
  <c r="AI40" i="3"/>
  <c r="AI41" i="3"/>
  <c r="AI43" i="3"/>
  <c r="AI44" i="3"/>
  <c r="Q3" i="3"/>
  <c r="AH3" i="3"/>
  <c r="AH2" i="3"/>
  <c r="AH5" i="3"/>
  <c r="AH4" i="3"/>
  <c r="AH6" i="3"/>
  <c r="AH9" i="3"/>
  <c r="AH8" i="3"/>
  <c r="AH7" i="3"/>
  <c r="AH11" i="3"/>
  <c r="AH16" i="3"/>
  <c r="AH12" i="3"/>
  <c r="AH10" i="3"/>
  <c r="AH13" i="3"/>
  <c r="AH18" i="3"/>
  <c r="AH14" i="3"/>
  <c r="AH24" i="3"/>
  <c r="AH23" i="3"/>
  <c r="AH19" i="3"/>
  <c r="AH20" i="3"/>
  <c r="AH26" i="3"/>
  <c r="AH22" i="3"/>
  <c r="AH15" i="3"/>
  <c r="AH21" i="3"/>
  <c r="AH28" i="3"/>
  <c r="AH29" i="3"/>
  <c r="AH36" i="3"/>
  <c r="AH32" i="3"/>
  <c r="AH33" i="3"/>
  <c r="AH25" i="3"/>
  <c r="AH30" i="3"/>
  <c r="AH27" i="3"/>
  <c r="AH34" i="3"/>
  <c r="AH31" i="3"/>
  <c r="AH37" i="3"/>
  <c r="AH35" i="3"/>
  <c r="AH39" i="3"/>
  <c r="AH38" i="3"/>
  <c r="AH42" i="3"/>
  <c r="AH40" i="3"/>
  <c r="AH41" i="3"/>
  <c r="AH43" i="3"/>
  <c r="AH44" i="3"/>
  <c r="AG3" i="3"/>
  <c r="AG2" i="3"/>
  <c r="AG5" i="3"/>
  <c r="AG4" i="3"/>
  <c r="AG6" i="3"/>
  <c r="AG9" i="3"/>
  <c r="AG8" i="3"/>
  <c r="AG7" i="3"/>
  <c r="AG11" i="3"/>
  <c r="AG16" i="3"/>
  <c r="AG12" i="3"/>
  <c r="AG10" i="3"/>
  <c r="AG13" i="3"/>
  <c r="AG18" i="3"/>
  <c r="AG14" i="3"/>
  <c r="AG24" i="3"/>
  <c r="AG23" i="3"/>
  <c r="AG19" i="3"/>
  <c r="AG20" i="3"/>
  <c r="AG26" i="3"/>
  <c r="AG22" i="3"/>
  <c r="AG15" i="3"/>
  <c r="AG21" i="3"/>
  <c r="AG28" i="3"/>
  <c r="AG29" i="3"/>
  <c r="AG36" i="3"/>
  <c r="AG32" i="3"/>
  <c r="AG33" i="3"/>
  <c r="AG25" i="3"/>
  <c r="AG30" i="3"/>
  <c r="AG27" i="3"/>
  <c r="AG34" i="3"/>
  <c r="AG31" i="3"/>
  <c r="AG37" i="3"/>
  <c r="AG35" i="3"/>
  <c r="AG39" i="3"/>
  <c r="AG38" i="3"/>
  <c r="AG42" i="3"/>
  <c r="AG40" i="3"/>
  <c r="AG41" i="3"/>
  <c r="AG43" i="3"/>
  <c r="AG44" i="3"/>
  <c r="AF3" i="3"/>
  <c r="AF2" i="3"/>
  <c r="AF5" i="3"/>
  <c r="AF4" i="3"/>
  <c r="AF6" i="3"/>
  <c r="AF9" i="3"/>
  <c r="AF8" i="3"/>
  <c r="AF7" i="3"/>
  <c r="AF11" i="3"/>
  <c r="AF16" i="3"/>
  <c r="AF12" i="3"/>
  <c r="AF10" i="3"/>
  <c r="AF13" i="3"/>
  <c r="AF18" i="3"/>
  <c r="AF14" i="3"/>
  <c r="AF24" i="3"/>
  <c r="AF23" i="3"/>
  <c r="AF19" i="3"/>
  <c r="AF20" i="3"/>
  <c r="AF26" i="3"/>
  <c r="AF22" i="3"/>
  <c r="AF15" i="3"/>
  <c r="AF21" i="3"/>
  <c r="AF28" i="3"/>
  <c r="AF29" i="3"/>
  <c r="AF36" i="3"/>
  <c r="AF32" i="3"/>
  <c r="AF33" i="3"/>
  <c r="AF25" i="3"/>
  <c r="AF30" i="3"/>
  <c r="AF27" i="3"/>
  <c r="AF34" i="3"/>
  <c r="AF31" i="3"/>
  <c r="AF37" i="3"/>
  <c r="AF35" i="3"/>
  <c r="AF39" i="3"/>
  <c r="AF38" i="3"/>
  <c r="AF42" i="3"/>
  <c r="AF40" i="3"/>
  <c r="AF41" i="3"/>
  <c r="AF43" i="3"/>
  <c r="AF44" i="3"/>
  <c r="AE3" i="3"/>
  <c r="AE2" i="3"/>
  <c r="AE5" i="3"/>
  <c r="AE4" i="3"/>
  <c r="AE6" i="3"/>
  <c r="AE9" i="3"/>
  <c r="AE8" i="3"/>
  <c r="AE7" i="3"/>
  <c r="AE11" i="3"/>
  <c r="AE16" i="3"/>
  <c r="AE12" i="3"/>
  <c r="AE10" i="3"/>
  <c r="AE13" i="3"/>
  <c r="AE18" i="3"/>
  <c r="AE14" i="3"/>
  <c r="AE24" i="3"/>
  <c r="AE23" i="3"/>
  <c r="AE19" i="3"/>
  <c r="AE20" i="3"/>
  <c r="AE26" i="3"/>
  <c r="AE22" i="3"/>
  <c r="AE15" i="3"/>
  <c r="AE21" i="3"/>
  <c r="AE28" i="3"/>
  <c r="AE29" i="3"/>
  <c r="AE36" i="3"/>
  <c r="AE32" i="3"/>
  <c r="AE33" i="3"/>
  <c r="AE25" i="3"/>
  <c r="AE30" i="3"/>
  <c r="AE27" i="3"/>
  <c r="AE34" i="3"/>
  <c r="AE31" i="3"/>
  <c r="AE37" i="3"/>
  <c r="AE35" i="3"/>
  <c r="AE39" i="3"/>
  <c r="AE38" i="3"/>
  <c r="AE42" i="3"/>
  <c r="AE40" i="3"/>
  <c r="AE41" i="3"/>
  <c r="AE43" i="3"/>
  <c r="AE44" i="3"/>
  <c r="Q2" i="3"/>
  <c r="Q5" i="3"/>
  <c r="Q4" i="3"/>
  <c r="Q8" i="3"/>
  <c r="Q6" i="3"/>
  <c r="Q9" i="3"/>
  <c r="Q7" i="3"/>
  <c r="Q11" i="3"/>
  <c r="Q16" i="3"/>
  <c r="Q12" i="3"/>
  <c r="Q13" i="3"/>
  <c r="Q18" i="3"/>
  <c r="Q14" i="3"/>
  <c r="Q24" i="3"/>
  <c r="Q23" i="3"/>
  <c r="Q10" i="3"/>
  <c r="Q19" i="3"/>
  <c r="Q20" i="3"/>
  <c r="Q26" i="3"/>
  <c r="Q22" i="3"/>
  <c r="Q21" i="3"/>
  <c r="Q32" i="3"/>
  <c r="Q28" i="3"/>
  <c r="Q29" i="3"/>
  <c r="Q36" i="3"/>
  <c r="Q31" i="3"/>
  <c r="Q33" i="3"/>
  <c r="Q27" i="3"/>
  <c r="Q34" i="3"/>
  <c r="Q25" i="3"/>
  <c r="Q15" i="3"/>
  <c r="Q30" i="3"/>
  <c r="Q37" i="3"/>
  <c r="Q35" i="3"/>
  <c r="Q39" i="3"/>
  <c r="Q38" i="3"/>
  <c r="Q42" i="3"/>
  <c r="Q40" i="3"/>
  <c r="Q43" i="3"/>
  <c r="Q41" i="3"/>
  <c r="Q44" i="3"/>
  <c r="P3" i="3"/>
  <c r="P2" i="3"/>
  <c r="P5" i="3"/>
  <c r="P4" i="3"/>
  <c r="P8" i="3"/>
  <c r="P6" i="3"/>
  <c r="P9" i="3"/>
  <c r="P7" i="3"/>
  <c r="P11" i="3"/>
  <c r="P16" i="3"/>
  <c r="P12" i="3"/>
  <c r="P13" i="3"/>
  <c r="P18" i="3"/>
  <c r="P14" i="3"/>
  <c r="P24" i="3"/>
  <c r="P23" i="3"/>
  <c r="P10" i="3"/>
  <c r="P19" i="3"/>
  <c r="P20" i="3"/>
  <c r="P26" i="3"/>
  <c r="P22" i="3"/>
  <c r="P21" i="3"/>
  <c r="P32" i="3"/>
  <c r="P28" i="3"/>
  <c r="P29" i="3"/>
  <c r="P36" i="3"/>
  <c r="P31" i="3"/>
  <c r="P33" i="3"/>
  <c r="P27" i="3"/>
  <c r="P34" i="3"/>
  <c r="P25" i="3"/>
  <c r="P15" i="3"/>
  <c r="P30" i="3"/>
  <c r="P37" i="3"/>
  <c r="P35" i="3"/>
  <c r="P39" i="3"/>
  <c r="P38" i="3"/>
  <c r="P42" i="3"/>
  <c r="P40" i="3"/>
  <c r="P43" i="3"/>
  <c r="P41" i="3"/>
  <c r="P44" i="3"/>
  <c r="L8" i="3"/>
  <c r="M8" i="3"/>
  <c r="N8" i="3"/>
  <c r="O8" i="3"/>
  <c r="L32" i="3"/>
  <c r="M32" i="3"/>
  <c r="N32" i="3"/>
  <c r="O32" i="3"/>
  <c r="L2" i="3"/>
  <c r="M2" i="3"/>
  <c r="N2" i="3"/>
  <c r="O2" i="3"/>
  <c r="O3" i="3"/>
  <c r="O15" i="3"/>
  <c r="O4" i="3"/>
  <c r="O25" i="3"/>
  <c r="O27" i="3"/>
  <c r="O24" i="3"/>
  <c r="O16" i="3"/>
  <c r="O7" i="3"/>
  <c r="O31" i="3"/>
  <c r="O11" i="3"/>
  <c r="O30" i="3"/>
  <c r="O5" i="3"/>
  <c r="O10" i="3"/>
  <c r="O14" i="3"/>
  <c r="O6" i="3"/>
  <c r="O41" i="3"/>
  <c r="O35" i="3"/>
  <c r="O22" i="3"/>
  <c r="O9" i="3"/>
  <c r="O18" i="3"/>
  <c r="O20" i="3"/>
  <c r="O13" i="3"/>
  <c r="O37" i="3"/>
  <c r="O12" i="3"/>
  <c r="O23" i="3"/>
  <c r="O40" i="3"/>
  <c r="O44" i="3"/>
  <c r="O19" i="3"/>
  <c r="O42" i="3"/>
  <c r="O36" i="3"/>
  <c r="O21" i="3"/>
  <c r="O29" i="3"/>
  <c r="O26" i="3"/>
  <c r="O33" i="3"/>
  <c r="O43" i="3"/>
  <c r="O34" i="3"/>
  <c r="O28" i="3"/>
  <c r="O38" i="3"/>
  <c r="O39" i="3"/>
  <c r="N3" i="3"/>
  <c r="N15" i="3"/>
  <c r="N4" i="3"/>
  <c r="N25" i="3"/>
  <c r="N27" i="3"/>
  <c r="N24" i="3"/>
  <c r="N16" i="3"/>
  <c r="N7" i="3"/>
  <c r="N31" i="3"/>
  <c r="N11" i="3"/>
  <c r="N30" i="3"/>
  <c r="N5" i="3"/>
  <c r="N10" i="3"/>
  <c r="N14" i="3"/>
  <c r="N6" i="3"/>
  <c r="N41" i="3"/>
  <c r="N35" i="3"/>
  <c r="N22" i="3"/>
  <c r="N9" i="3"/>
  <c r="N18" i="3"/>
  <c r="N20" i="3"/>
  <c r="N13" i="3"/>
  <c r="N37" i="3"/>
  <c r="N12" i="3"/>
  <c r="N23" i="3"/>
  <c r="N40" i="3"/>
  <c r="N44" i="3"/>
  <c r="N19" i="3"/>
  <c r="N42" i="3"/>
  <c r="N36" i="3"/>
  <c r="N21" i="3"/>
  <c r="N29" i="3"/>
  <c r="N26" i="3"/>
  <c r="N33" i="3"/>
  <c r="N43" i="3"/>
  <c r="N34" i="3"/>
  <c r="N28" i="3"/>
  <c r="N38" i="3"/>
  <c r="N39" i="3"/>
  <c r="M3" i="3"/>
  <c r="M15" i="3"/>
  <c r="M4" i="3"/>
  <c r="M25" i="3"/>
  <c r="M27" i="3"/>
  <c r="M24" i="3"/>
  <c r="M16" i="3"/>
  <c r="M7" i="3"/>
  <c r="M31" i="3"/>
  <c r="M11" i="3"/>
  <c r="M30" i="3"/>
  <c r="M5" i="3"/>
  <c r="M10" i="3"/>
  <c r="M14" i="3"/>
  <c r="M6" i="3"/>
  <c r="M41" i="3"/>
  <c r="M35" i="3"/>
  <c r="M22" i="3"/>
  <c r="M9" i="3"/>
  <c r="M18" i="3"/>
  <c r="M20" i="3"/>
  <c r="M13" i="3"/>
  <c r="M37" i="3"/>
  <c r="M12" i="3"/>
  <c r="M23" i="3"/>
  <c r="M40" i="3"/>
  <c r="M44" i="3"/>
  <c r="M19" i="3"/>
  <c r="M42" i="3"/>
  <c r="M36" i="3"/>
  <c r="M21" i="3"/>
  <c r="M29" i="3"/>
  <c r="M26" i="3"/>
  <c r="M33" i="3"/>
  <c r="M43" i="3"/>
  <c r="M34" i="3"/>
  <c r="M28" i="3"/>
  <c r="M38" i="3"/>
  <c r="M39" i="3"/>
  <c r="L3" i="3"/>
  <c r="L15" i="3"/>
  <c r="L4" i="3"/>
  <c r="L25" i="3"/>
  <c r="L27" i="3"/>
  <c r="L24" i="3"/>
  <c r="L16" i="3"/>
  <c r="L7" i="3"/>
  <c r="L31" i="3"/>
  <c r="L11" i="3"/>
  <c r="L30" i="3"/>
  <c r="L5" i="3"/>
  <c r="L10" i="3"/>
  <c r="L14" i="3"/>
  <c r="L6" i="3"/>
  <c r="L41" i="3"/>
  <c r="L35" i="3"/>
  <c r="L22" i="3"/>
  <c r="L9" i="3"/>
  <c r="L18" i="3"/>
  <c r="L20" i="3"/>
  <c r="L13" i="3"/>
  <c r="L37" i="3"/>
  <c r="L12" i="3"/>
  <c r="L23" i="3"/>
  <c r="L40" i="3"/>
  <c r="L44" i="3"/>
  <c r="L19" i="3"/>
  <c r="L42" i="3"/>
  <c r="L36" i="3"/>
  <c r="L21" i="3"/>
  <c r="L29" i="3"/>
  <c r="L26" i="3"/>
  <c r="L33" i="3"/>
  <c r="L43" i="3"/>
  <c r="L34" i="3"/>
  <c r="L28" i="3"/>
  <c r="L38" i="3"/>
  <c r="L39" i="3"/>
  <c r="AL38" i="3" l="1"/>
  <c r="AK38" i="3" s="1"/>
  <c r="AL29" i="3"/>
  <c r="AK29" i="3" s="1"/>
  <c r="AL13" i="3"/>
  <c r="AK13" i="3" s="1"/>
  <c r="AL3" i="3"/>
  <c r="AK3" i="3" s="1"/>
  <c r="AS42" i="3"/>
  <c r="AL39" i="3"/>
  <c r="AK39" i="3" s="1"/>
  <c r="AL28" i="3"/>
  <c r="AK28" i="3" s="1"/>
  <c r="AL10" i="3"/>
  <c r="AK10" i="3" s="1"/>
  <c r="AS38" i="3"/>
  <c r="AS29" i="3"/>
  <c r="S8" i="3"/>
  <c r="R8" i="3" s="1"/>
  <c r="S11" i="3"/>
  <c r="R11" i="3" s="1"/>
  <c r="S33" i="3"/>
  <c r="R33" i="3" s="1"/>
  <c r="S13" i="3"/>
  <c r="R13" i="3" s="1"/>
  <c r="S43" i="3"/>
  <c r="R43" i="3" s="1"/>
  <c r="S37" i="3"/>
  <c r="R37" i="3" s="1"/>
  <c r="S30" i="3"/>
  <c r="R30" i="3" s="1"/>
  <c r="W35" i="11"/>
  <c r="L35" i="11"/>
  <c r="S44" i="3"/>
  <c r="R44" i="3" s="1"/>
  <c r="S4" i="3"/>
  <c r="R4" i="3" s="1"/>
  <c r="S39" i="3"/>
  <c r="R39" i="3" s="1"/>
  <c r="S6" i="3"/>
  <c r="R6" i="3" s="1"/>
  <c r="S20" i="3"/>
  <c r="R20" i="3" s="1"/>
  <c r="AL35" i="3"/>
  <c r="AK35" i="3" s="1"/>
  <c r="AS10" i="3"/>
  <c r="AL21" i="3"/>
  <c r="AK21" i="3" s="1"/>
  <c r="S29" i="3"/>
  <c r="R29" i="3" s="1"/>
  <c r="S18" i="3"/>
  <c r="R18" i="3" s="1"/>
  <c r="S7" i="3"/>
  <c r="R7" i="3" s="1"/>
  <c r="S32" i="3"/>
  <c r="R32" i="3" s="1"/>
  <c r="S31" i="3"/>
  <c r="R31" i="3" s="1"/>
  <c r="AL12" i="3"/>
  <c r="AK12" i="3" s="1"/>
  <c r="AS39" i="3"/>
  <c r="S21" i="3"/>
  <c r="R21" i="3" s="1"/>
  <c r="S9" i="3"/>
  <c r="R9" i="3" s="1"/>
  <c r="S16" i="3"/>
  <c r="R16" i="3" s="1"/>
  <c r="S36" i="3"/>
  <c r="R36" i="3" s="1"/>
  <c r="S26" i="3"/>
  <c r="R26" i="3" s="1"/>
  <c r="S22" i="3"/>
  <c r="R22" i="3" s="1"/>
  <c r="S24" i="3"/>
  <c r="R24" i="3" s="1"/>
  <c r="S42" i="3"/>
  <c r="R42" i="3" s="1"/>
  <c r="S35" i="3"/>
  <c r="R35" i="3" s="1"/>
  <c r="S27" i="3"/>
  <c r="R27" i="3" s="1"/>
  <c r="S19" i="3"/>
  <c r="R19" i="3" s="1"/>
  <c r="S41" i="3"/>
  <c r="R41" i="3" s="1"/>
  <c r="S25" i="3"/>
  <c r="R25" i="3" s="1"/>
  <c r="S14" i="3"/>
  <c r="R14" i="3" s="1"/>
  <c r="S38" i="3"/>
  <c r="R38" i="3" s="1"/>
  <c r="S40" i="3"/>
  <c r="R40" i="3" s="1"/>
  <c r="S15" i="3"/>
  <c r="R15" i="3" s="1"/>
  <c r="S28" i="3"/>
  <c r="R28" i="3" s="1"/>
  <c r="S23" i="3"/>
  <c r="R23" i="3" s="1"/>
  <c r="S10" i="3"/>
  <c r="R10" i="3" s="1"/>
  <c r="S3" i="3"/>
  <c r="R3" i="3" s="1"/>
  <c r="S34" i="3"/>
  <c r="R34" i="3" s="1"/>
  <c r="S12" i="3"/>
  <c r="R12" i="3" s="1"/>
  <c r="S5" i="3"/>
  <c r="R5" i="3" s="1"/>
  <c r="S2" i="3"/>
  <c r="R2" i="3" s="1"/>
  <c r="AS13" i="3"/>
  <c r="AS3" i="3"/>
  <c r="AS18" i="3"/>
  <c r="AS2" i="3"/>
  <c r="AL42" i="3"/>
  <c r="AK42" i="3" s="1"/>
  <c r="AL36" i="3"/>
  <c r="AK36" i="3" s="1"/>
  <c r="AL18" i="3"/>
  <c r="AK18" i="3" s="1"/>
  <c r="AS40" i="3"/>
  <c r="AL16" i="3"/>
  <c r="AK16" i="3" s="1"/>
  <c r="AS35" i="3"/>
  <c r="AL37" i="3"/>
  <c r="AK37" i="3" s="1"/>
  <c r="AL34" i="3"/>
  <c r="AK34" i="3" s="1"/>
  <c r="AL26" i="3"/>
  <c r="AK26" i="3" s="1"/>
  <c r="AL7" i="3"/>
  <c r="AK7" i="3" s="1"/>
  <c r="AS31" i="3"/>
  <c r="AS22" i="3"/>
  <c r="AS11" i="3"/>
  <c r="AL15" i="3"/>
  <c r="AK15" i="3" s="1"/>
  <c r="AS21" i="3"/>
  <c r="AS12" i="3"/>
  <c r="AS36" i="3"/>
  <c r="AS28" i="3"/>
  <c r="AL2" i="3"/>
  <c r="AK2" i="3" s="1"/>
  <c r="AL27" i="3"/>
  <c r="AK27" i="3" s="1"/>
  <c r="AL20" i="3"/>
  <c r="AK20" i="3" s="1"/>
  <c r="AL8" i="3"/>
  <c r="AK8" i="3" s="1"/>
  <c r="AS34" i="3"/>
  <c r="AS26" i="3"/>
  <c r="AL44" i="3"/>
  <c r="AK44" i="3" s="1"/>
  <c r="AS44" i="3"/>
  <c r="AL40" i="3"/>
  <c r="AK40" i="3" s="1"/>
  <c r="AL32" i="3"/>
  <c r="AK32" i="3" s="1"/>
  <c r="AL14" i="3"/>
  <c r="AK14" i="3" s="1"/>
  <c r="AL5" i="3"/>
  <c r="AK5" i="3" s="1"/>
  <c r="AS41" i="3"/>
  <c r="AS33" i="3"/>
  <c r="AS24" i="3"/>
  <c r="AS4" i="3"/>
  <c r="AL25" i="3"/>
  <c r="AK25" i="3" s="1"/>
  <c r="AL31" i="3"/>
  <c r="AK31" i="3" s="1"/>
  <c r="AL22" i="3"/>
  <c r="AK22" i="3" s="1"/>
  <c r="AL11" i="3"/>
  <c r="AK11" i="3" s="1"/>
  <c r="AS37" i="3"/>
  <c r="AS15" i="3"/>
  <c r="AS16" i="3"/>
  <c r="AS7" i="3"/>
  <c r="AL30" i="3"/>
  <c r="AK30" i="3" s="1"/>
  <c r="AL19" i="3"/>
  <c r="AK19" i="3" s="1"/>
  <c r="AL9" i="3"/>
  <c r="AK9" i="3" s="1"/>
  <c r="AS27" i="3"/>
  <c r="AS20" i="3"/>
  <c r="AS8" i="3"/>
  <c r="AL43" i="3"/>
  <c r="AK43" i="3" s="1"/>
  <c r="AS30" i="3"/>
  <c r="AS19" i="3"/>
  <c r="AS9" i="3"/>
  <c r="AL23" i="3"/>
  <c r="AK23" i="3" s="1"/>
  <c r="AL41" i="3"/>
  <c r="AK41" i="3" s="1"/>
  <c r="AL33" i="3"/>
  <c r="AK33" i="3" s="1"/>
  <c r="AL24" i="3"/>
  <c r="AK24" i="3" s="1"/>
  <c r="AL4" i="3"/>
  <c r="AK4" i="3" s="1"/>
  <c r="AS43" i="3"/>
  <c r="AS25" i="3"/>
  <c r="AS23" i="3"/>
  <c r="AS6" i="3"/>
  <c r="AL6" i="3"/>
  <c r="AK6" i="3" s="1"/>
  <c r="AS32" i="3"/>
  <c r="AS14" i="3"/>
  <c r="AS5" i="3"/>
  <c r="AT14" i="3"/>
  <c r="AT36" i="3"/>
  <c r="AT18" i="3"/>
  <c r="AT5" i="3"/>
  <c r="AT9" i="3"/>
  <c r="AT27" i="3"/>
  <c r="AT20" i="3"/>
  <c r="AT43" i="3"/>
  <c r="AT25" i="3"/>
  <c r="AT37" i="3"/>
  <c r="AT4" i="3"/>
  <c r="AT31" i="3"/>
  <c r="AT22" i="3"/>
  <c r="AT11" i="3"/>
  <c r="AT26" i="3"/>
  <c r="AT23" i="3"/>
  <c r="AT41" i="3"/>
  <c r="AT33" i="3"/>
  <c r="AT6" i="3"/>
  <c r="AT40" i="3"/>
  <c r="AT38" i="3"/>
  <c r="AT28" i="3"/>
  <c r="AT3" i="3"/>
  <c r="AT19" i="3"/>
  <c r="AT34" i="3"/>
  <c r="AT7" i="3"/>
  <c r="AT24" i="3"/>
  <c r="AT44" i="3"/>
  <c r="AT30" i="3"/>
  <c r="AT8" i="3"/>
  <c r="AT42" i="3"/>
  <c r="AT29" i="3"/>
  <c r="AT13" i="3"/>
  <c r="AT39" i="3"/>
  <c r="AT21" i="3"/>
  <c r="AT12" i="3"/>
  <c r="AT35" i="3"/>
  <c r="AT15" i="3"/>
  <c r="AT16" i="3"/>
  <c r="AT10" i="3"/>
  <c r="AT32" i="3"/>
  <c r="AT2" i="3"/>
  <c r="AM38" i="3"/>
  <c r="AM29" i="3"/>
  <c r="AM13" i="3"/>
  <c r="AM2" i="3"/>
  <c r="AM44" i="3"/>
  <c r="AM30" i="3"/>
  <c r="AM19" i="3"/>
  <c r="AM8" i="3"/>
  <c r="AM43" i="3"/>
  <c r="AM25" i="3"/>
  <c r="AM23" i="3"/>
  <c r="AM9" i="3"/>
  <c r="AM39" i="3"/>
  <c r="AM28" i="3"/>
  <c r="AM3" i="3"/>
  <c r="AM31" i="3"/>
  <c r="AM16" i="3"/>
  <c r="AM34" i="3"/>
  <c r="AM26" i="3"/>
  <c r="AM11" i="3"/>
  <c r="AM20" i="3"/>
  <c r="AM27" i="3"/>
  <c r="AM41" i="3"/>
  <c r="AM33" i="3"/>
  <c r="AM24" i="3"/>
  <c r="AM6" i="3"/>
  <c r="AM40" i="3"/>
  <c r="AM32" i="3"/>
  <c r="AM14" i="3"/>
  <c r="AM4" i="3"/>
  <c r="AM7" i="3"/>
  <c r="AM42" i="3"/>
  <c r="AM36" i="3"/>
  <c r="AM18" i="3"/>
  <c r="AM5" i="3"/>
  <c r="AM22" i="3"/>
  <c r="AM35" i="3"/>
  <c r="AM21" i="3"/>
  <c r="AM10" i="3"/>
  <c r="AM37" i="3"/>
  <c r="AM15" i="3"/>
  <c r="AM12" i="3"/>
  <c r="T15" i="3"/>
  <c r="T14" i="3"/>
  <c r="T40" i="3"/>
  <c r="T44" i="3"/>
  <c r="T6" i="3"/>
  <c r="T4" i="3"/>
  <c r="T19" i="3"/>
  <c r="T41" i="3"/>
  <c r="T25" i="3"/>
  <c r="T23" i="3"/>
  <c r="T10" i="3"/>
  <c r="T3" i="3"/>
  <c r="T8" i="3"/>
  <c r="T33" i="3"/>
  <c r="T34" i="3"/>
  <c r="T5" i="3"/>
  <c r="T43" i="3"/>
  <c r="T26" i="3"/>
  <c r="T20" i="3"/>
  <c r="T31" i="3"/>
  <c r="T7" i="3"/>
  <c r="T9" i="3"/>
  <c r="T36" i="3"/>
  <c r="T24" i="3"/>
  <c r="T42" i="3"/>
  <c r="T27" i="3"/>
  <c r="T38" i="3"/>
  <c r="T29" i="3"/>
  <c r="T13" i="3"/>
  <c r="T39" i="3"/>
  <c r="T28" i="3"/>
  <c r="T18" i="3"/>
  <c r="T37" i="3"/>
  <c r="T32" i="3"/>
  <c r="T12" i="3"/>
  <c r="T35" i="3"/>
  <c r="T21" i="3"/>
  <c r="T16" i="3"/>
  <c r="T30" i="3"/>
  <c r="T22" i="3"/>
  <c r="T11" i="3"/>
  <c r="T2" i="3"/>
  <c r="B35" i="11" l="1"/>
  <c r="C35"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004B23D-140F-44DE-B94D-2E306EE94D61}" keepAlive="1" name="Query - MAD Alpha Calculation" description="Connection to the 'MAD Alpha Calculation' query in the workbook." type="5" refreshedVersion="8" background="1" saveData="1">
    <dbPr connection="Provider=Microsoft.Mashup.OleDb.1;Data Source=$Workbook$;Location=&quot;MAD Alpha Calculation&quot;;Extended Properties=&quot;&quot;" command="SELECT * FROM [MAD Alpha Calculation]"/>
  </connection>
  <connection id="2" xr16:uid="{47EA1437-0D32-4A9E-9815-C22D5C30585B}" keepAlive="1" name="Query - Score Hits Correlation" description="Connection to the 'Score Hits Correlation' query in the workbook." type="5" refreshedVersion="8" background="1" saveData="1">
    <dbPr connection="Provider=Microsoft.Mashup.OleDb.1;Data Source=$Workbook$;Location=&quot;Score Hits Correlation&quot;;Extended Properties=&quot;&quot;" command="SELECT * FROM [Score Hits Correlation]"/>
  </connection>
  <connection id="3" xr16:uid="{79EBA3A0-D644-44CE-BFD3-25ECB8820ECF}" keepAlive="1" name="Query - Spearman Calculation" description="Connection to the 'Spearman Calculation' query in the workbook." type="5" refreshedVersion="8" background="1" saveData="1">
    <dbPr connection="Provider=Microsoft.Mashup.OleDb.1;Data Source=$Workbook$;Location=&quot;Spearman Calculation&quot;;Extended Properties=&quot;&quot;" command="SELECT * FROM [Spearman Calculation]"/>
  </connection>
  <connection id="4" xr16:uid="{73EEA826-86A6-479B-8E53-7300DCEF3AC6}" keepAlive="1" name="Query - Summary" description="Connection to the 'Summary' query in the workbook." type="5" refreshedVersion="8" background="1" saveData="1">
    <dbPr connection="Provider=Microsoft.Mashup.OleDb.1;Data Source=$Workbook$;Location=Summary;Extended Properties=&quot;&quot;" command="SELECT * FROM [Summary]"/>
  </connection>
</connections>
</file>

<file path=xl/sharedStrings.xml><?xml version="1.0" encoding="utf-8"?>
<sst xmlns="http://schemas.openxmlformats.org/spreadsheetml/2006/main" count="1229" uniqueCount="426">
  <si>
    <t>doe</t>
  </si>
  <si>
    <t>My Love Mine All Mine</t>
  </si>
  <si>
    <t>All the Names of Waiting</t>
  </si>
  <si>
    <t>To Feel To Fall</t>
  </si>
  <si>
    <t>Metanoia</t>
  </si>
  <si>
    <t>Runes and Rituals</t>
  </si>
  <si>
    <t>But Daddy I Love Him</t>
  </si>
  <si>
    <t>A Year Abroad</t>
  </si>
  <si>
    <t>Flower of the North</t>
  </si>
  <si>
    <t>Learning To Dance</t>
  </si>
  <si>
    <t>Love Me Like You Do</t>
  </si>
  <si>
    <t>Shield and Star</t>
  </si>
  <si>
    <t>The Flower Shop</t>
  </si>
  <si>
    <t>To the You of 1994</t>
  </si>
  <si>
    <t>Until Tomorrow</t>
  </si>
  <si>
    <t>A Life in Letters</t>
  </si>
  <si>
    <t>Air</t>
  </si>
  <si>
    <t>Debts of Honor</t>
  </si>
  <si>
    <t>Finding their way back to love</t>
  </si>
  <si>
    <t>Hunting Shadows</t>
  </si>
  <si>
    <t>Letter of Survival</t>
  </si>
  <si>
    <t>Looks Can Be Deceiving</t>
  </si>
  <si>
    <t>The Observer Effect</t>
  </si>
  <si>
    <t>Alignment – Through the Arch</t>
  </si>
  <si>
    <t>Alignment</t>
  </si>
  <si>
    <t>canon-divergence</t>
  </si>
  <si>
    <t>post-war</t>
  </si>
  <si>
    <t>alternate reality</t>
  </si>
  <si>
    <t>Harry Potter and the Methods of Rationality</t>
  </si>
  <si>
    <t>The Pureblood Pretense</t>
  </si>
  <si>
    <t>All the Young Dudes</t>
  </si>
  <si>
    <t>The Prince of Slytherin</t>
  </si>
  <si>
    <t>A Black Comedy</t>
  </si>
  <si>
    <t>The Arithmancer</t>
  </si>
  <si>
    <t>Prince of the Dark Kingdom</t>
  </si>
  <si>
    <t>The Changeling</t>
  </si>
  <si>
    <t>The Debt of Time</t>
  </si>
  <si>
    <t>War solution</t>
  </si>
  <si>
    <t>https://archiveofourown.org/works?work_search%5Bsort_column%5D=revised_at&amp;work_search%5Bother_tag_names%5D=&amp;exclude_work_search%5Brelationship_ids%5D%5B%5D=3458&amp;exclude_work_search%5Brelationship_ids%5D%5B%5D=9510&amp;exclude_work_search%5Brelationship_ids%5D%5B%5D=10760&amp;work_search%5Bexcluded_tag_names%5D=Hermione+Granger%2FSeverus+Snape&amp;work_search%5Bcrossover%5D=F&amp;work_search%5Bcomplete%5D=&amp;work_search%5Bwords_from%5D=50000&amp;work_search%5Bwords_to%5D=&amp;work_search%5Bdate_from%5D=&amp;work_search%5Bdate_to%5D=&amp;work_search%5Bquery%5D=&amp;work_search%5Blanguage_id%5D=en&amp;commit=Sort+and+Filter&amp;tag_id=Hermione+Granger*s*Viktor+Krum</t>
  </si>
  <si>
    <t>AO3</t>
  </si>
  <si>
    <t>Primary Filter: Hermione Granger/Viktor Krum</t>
  </si>
  <si>
    <t>Exclude: Hermione Granger/ Ron Weasley, Draco Malfoy, Harry Potter, Severus Snape</t>
  </si>
  <si>
    <t>Exclude: crossovers of fandoms</t>
  </si>
  <si>
    <t>Word count: 50k+</t>
  </si>
  <si>
    <t>Language: English</t>
  </si>
  <si>
    <t>Baseset vs Sample</t>
  </si>
  <si>
    <t>This reduces the vikmione genre to about a good 100 works</t>
  </si>
  <si>
    <t>A life in letters &amp; Through the arch do not fit the filter, but I wanted them in there as well.</t>
  </si>
  <si>
    <t>Procedure</t>
  </si>
  <si>
    <t>Rubric uploaden</t>
  </si>
  <si>
    <t>Instructie toevoegen dat hij per categorie moet beoordelen op schaal 0-10 en dan ongewogen optellen</t>
  </si>
  <si>
    <t>Alle PDFs zelfde format: De AO3-download</t>
  </si>
  <si>
    <t>PDFs uploaden in ChatGPT &amp; tabel laten maken van file titels vs categorie scores</t>
  </si>
  <si>
    <t>Procedure 2x herhalen in onafhankelijke chats om random errors te schatten</t>
  </si>
  <si>
    <t>Methode: ChatGPT Plus met model GPT5.2</t>
  </si>
  <si>
    <t>File downloads: 5 maart 2026</t>
  </si>
  <si>
    <t>Sample selection: 4 januari 2026</t>
  </si>
  <si>
    <t>Toevoegen:</t>
  </si>
  <si>
    <t>De rubric is specifiek gericht op vikmiones. Maar we passen hem hier ook toe om een methode te hebben om te kunnen beoordelen wat een hoge score precies betekent.</t>
  </si>
  <si>
    <t>We vragen ChatGPT zo goed mogelijk om de rubric te mappen naar non-vikmiones en bij andere hermelien-parings: Viktor in de rubric vervangen door haar andere partner.</t>
  </si>
  <si>
    <t>Hier geen PDFs uploaden maar ChatGPT gewoon vragen om een interne beoordeling</t>
  </si>
  <si>
    <t>Titel</t>
  </si>
  <si>
    <t>Vikmione Type</t>
  </si>
  <si>
    <t>FastNeutrons</t>
  </si>
  <si>
    <t>MayimOr</t>
  </si>
  <si>
    <t>articcat621</t>
  </si>
  <si>
    <t>https://archiveofourown.org/works/3402233</t>
  </si>
  <si>
    <t>https://archiveofourown.org/works/7933567</t>
  </si>
  <si>
    <t>paigevlindsay</t>
  </si>
  <si>
    <t>http://archiveofourown.org/works/18766738</t>
  </si>
  <si>
    <t>Calebski</t>
  </si>
  <si>
    <t>https://archiveofourown.org/works/73628601</t>
  </si>
  <si>
    <t>Benchmark</t>
  </si>
  <si>
    <t>https://archiveofourown.org/works/70894036</t>
  </si>
  <si>
    <t>https://archiveofourown.org/works/64982152</t>
  </si>
  <si>
    <t>PoppiesGrowOnVenus</t>
  </si>
  <si>
    <t>http://archiveofourown.org/works/23132749</t>
  </si>
  <si>
    <t>sareliz</t>
  </si>
  <si>
    <t>https://archiveofourown.org/works/79114106</t>
  </si>
  <si>
    <t>cementtblock</t>
  </si>
  <si>
    <t>http://archiveofourown.org/works/24098236</t>
  </si>
  <si>
    <t>Melissa1226</t>
  </si>
  <si>
    <t>http://archiveofourown.org/works/41745237</t>
  </si>
  <si>
    <t>Buddybee13</t>
  </si>
  <si>
    <t>https://archiveofourown.org/works/27111157</t>
  </si>
  <si>
    <t>Callmesalticidae</t>
  </si>
  <si>
    <t>http://archiveofourown.org/works/23468659</t>
  </si>
  <si>
    <t>TangentiaLives</t>
  </si>
  <si>
    <t>http://archiveofourown.org/works/5836018</t>
  </si>
  <si>
    <t>Bookhound89</t>
  </si>
  <si>
    <t>http://archiveofourown.org/works/56968588</t>
  </si>
  <si>
    <t>http://archiveofourown.org/works/3630213</t>
  </si>
  <si>
    <t>corvusdraconis</t>
  </si>
  <si>
    <t>https://archiveofourown.org/works/9362093.</t>
  </si>
  <si>
    <t>badluckvixen13 (fanaticmusings)</t>
  </si>
  <si>
    <t>http://archiveofourown.org/works/14504901</t>
  </si>
  <si>
    <t>FinnDecananas</t>
  </si>
  <si>
    <t>https://archiveofourown.org/works/62240974</t>
  </si>
  <si>
    <t>http://archiveofourown.org/works/20621435</t>
  </si>
  <si>
    <t>dyslexic_penquin</t>
  </si>
  <si>
    <t>http://archiveofourown.org/works/13657671</t>
  </si>
  <si>
    <t>LadyLightles</t>
  </si>
  <si>
    <t>https://archiveofourown.org/works/7544140</t>
  </si>
  <si>
    <t>https://archiveofourown.org/works/32711164</t>
  </si>
  <si>
    <t>tereyaglikedi</t>
  </si>
  <si>
    <t>https://archiveofourown.org/works/60848947</t>
  </si>
  <si>
    <t>https://archiveofourown.org/works/22915336</t>
  </si>
  <si>
    <t>KrumPuffer</t>
  </si>
  <si>
    <t>https://archiveofourown.org/works/73668556</t>
  </si>
  <si>
    <t>https://archiveofourown.org/works/24452869</t>
  </si>
  <si>
    <t>ReineP</t>
  </si>
  <si>
    <t>https://archiveofourown.org/works/51945343</t>
  </si>
  <si>
    <t>LittleChurro</t>
  </si>
  <si>
    <t>https://archiveofourown.org/works/41834889</t>
  </si>
  <si>
    <t>Ivy_Clarke</t>
  </si>
  <si>
    <t>nonjon</t>
  </si>
  <si>
    <t>MsKingBean89</t>
  </si>
  <si>
    <t>murkybluematter</t>
  </si>
  <si>
    <t>Mizuni-sama</t>
  </si>
  <si>
    <t>ShayaLonnie</t>
  </si>
  <si>
    <t>TheSinisterMan</t>
  </si>
  <si>
    <t>Annerb</t>
  </si>
  <si>
    <t>Eliezer Yudkowsky</t>
  </si>
  <si>
    <t>White Squirrel</t>
  </si>
  <si>
    <t>Hermione Granger and the silent country</t>
  </si>
  <si>
    <t>No more Trio</t>
  </si>
  <si>
    <t>There'll Never Be Enough of Us</t>
  </si>
  <si>
    <t>This Ship has Sailed</t>
  </si>
  <si>
    <t>https://archiveofourown.org/works/74098666</t>
  </si>
  <si>
    <t>Light to fight the shadows</t>
  </si>
  <si>
    <t>http://archiveofourown.org/works/30090315</t>
  </si>
  <si>
    <t>discoXena</t>
  </si>
  <si>
    <t>N</t>
  </si>
  <si>
    <t>Canon</t>
  </si>
  <si>
    <t>Psychology</t>
  </si>
  <si>
    <t>Romance</t>
  </si>
  <si>
    <t>Narrative</t>
  </si>
  <si>
    <t>Style</t>
  </si>
  <si>
    <t>Theme</t>
  </si>
  <si>
    <t>Worldbuild</t>
  </si>
  <si>
    <t>Viktor</t>
  </si>
  <si>
    <t>Original</t>
  </si>
  <si>
    <t>Integration</t>
  </si>
  <si>
    <t>A</t>
  </si>
  <si>
    <t>B</t>
  </si>
  <si>
    <t>C</t>
  </si>
  <si>
    <t>D</t>
  </si>
  <si>
    <t>Total</t>
  </si>
  <si>
    <t>Drift</t>
  </si>
  <si>
    <t>Full Alignment Series</t>
  </si>
  <si>
    <t>Isolation</t>
  </si>
  <si>
    <t>The Disappearances of Draco Malfoy</t>
  </si>
  <si>
    <t>E</t>
  </si>
  <si>
    <t>F</t>
  </si>
  <si>
    <t>Analysis</t>
  </si>
  <si>
    <t>Canon2</t>
  </si>
  <si>
    <t>Psychology2</t>
  </si>
  <si>
    <t>Romance2</t>
  </si>
  <si>
    <t>Narrative2</t>
  </si>
  <si>
    <t>Style2</t>
  </si>
  <si>
    <t>Theme2</t>
  </si>
  <si>
    <t>Worldbuild2</t>
  </si>
  <si>
    <t>Viktor2</t>
  </si>
  <si>
    <t>Original2</t>
  </si>
  <si>
    <t>Integration2</t>
  </si>
  <si>
    <t>A2</t>
  </si>
  <si>
    <t>B2</t>
  </si>
  <si>
    <t>C2</t>
  </si>
  <si>
    <t>D2</t>
  </si>
  <si>
    <t>E2</t>
  </si>
  <si>
    <t>F2</t>
  </si>
  <si>
    <t>Analysis2</t>
  </si>
  <si>
    <t>Total2</t>
  </si>
  <si>
    <t>Drift2</t>
  </si>
  <si>
    <t>Label</t>
  </si>
  <si>
    <t>Vikmione</t>
  </si>
  <si>
    <t>Series</t>
  </si>
  <si>
    <t>Aavg</t>
  </si>
  <si>
    <t>Bavg</t>
  </si>
  <si>
    <t>Cavg</t>
  </si>
  <si>
    <t>Davg</t>
  </si>
  <si>
    <t>T</t>
  </si>
  <si>
    <t>Delta</t>
  </si>
  <si>
    <t>Rank1</t>
  </si>
  <si>
    <t>Rank2</t>
  </si>
  <si>
    <t>Rank Diff Squared</t>
  </si>
  <si>
    <t>Sum of d^2</t>
  </si>
  <si>
    <t>Spearman Coefficient</t>
  </si>
  <si>
    <t>Variances</t>
  </si>
  <si>
    <t>Cronbach Alpha</t>
  </si>
  <si>
    <t>Normalised MAD</t>
  </si>
  <si>
    <t>MAD</t>
  </si>
  <si>
    <t>The disapperances of Draco Malfoy</t>
  </si>
  <si>
    <t>From these, manually read summaries, tags, etc. to distinguish smut from serious vikmione fanfics. Also eliminate fics where Hermione/Viktor do not appear to be endgame and/or the focus is not on their relationship.</t>
  </si>
  <si>
    <t>Deze zijn geselecteerd op basis van welke fanfics zijn de beste fanfics die er zijn? ChatGPT recommendation.</t>
  </si>
  <si>
    <t>stats measured at 9 april 2026</t>
  </si>
  <si>
    <t>Hits</t>
  </si>
  <si>
    <t>Kudos</t>
  </si>
  <si>
    <t>Comments</t>
  </si>
  <si>
    <t>Startdate6</t>
  </si>
  <si>
    <t>Status</t>
  </si>
  <si>
    <t>Complete</t>
  </si>
  <si>
    <t>Wordcount(k)</t>
  </si>
  <si>
    <t>WIP</t>
  </si>
  <si>
    <t>Type</t>
  </si>
  <si>
    <t>Time Delta</t>
  </si>
  <si>
    <t>Measurement Point</t>
  </si>
  <si>
    <t>Hits/Time</t>
  </si>
  <si>
    <t>Kudos/Hits</t>
  </si>
  <si>
    <t>Comments/Hits</t>
  </si>
  <si>
    <t>Average</t>
  </si>
  <si>
    <t>Variance</t>
  </si>
  <si>
    <t>Covariance</t>
  </si>
  <si>
    <t>RankT</t>
  </si>
  <si>
    <t>RankHits</t>
  </si>
  <si>
    <t>Squared Rank Diff</t>
  </si>
  <si>
    <t>Sum d^2</t>
  </si>
  <si>
    <t>Spearman</t>
  </si>
  <si>
    <t>Correlation</t>
  </si>
  <si>
    <t>Not a Vikmione</t>
  </si>
  <si>
    <t>Correction</t>
  </si>
  <si>
    <t>Clickability score</t>
  </si>
  <si>
    <t>Outliers</t>
  </si>
  <si>
    <t>Mainstream</t>
  </si>
  <si>
    <t>Hidden Gem; Author explicitely stated that many people repell on the divorcee-part of krummione, holding back hits while the work is extremely well-done.</t>
  </si>
  <si>
    <t>Extreme &amp; interesting AU, Author explicietly stated that she used it to test idea's for another novel, explaining why the Harry Potter rubric axes are weak, holding back the rubric score. But not the hits.</t>
  </si>
  <si>
    <t>Canon-div</t>
  </si>
  <si>
    <t>No direct war involvement; mostly pre-war emotional buildup.</t>
  </si>
  <si>
    <t>Limited scope and minimal broader plot impact.</t>
  </si>
  <si>
    <t>Alternate Reality</t>
  </si>
  <si>
    <t>War is background; not central to plot.</t>
  </si>
  <si>
    <t>Strong cultural/worldbuilding and relationship growth.</t>
  </si>
  <si>
    <t>War stakes feel distant and less impactful.</t>
  </si>
  <si>
    <t>Relationship develops from the Triwizard Tournament onward, expanding canon interactions.</t>
  </si>
  <si>
    <t>Strong emotional progression across canon timeline.</t>
  </si>
  <si>
    <t>Plot</t>
  </si>
  <si>
    <t>Deep moral complexity and war strategy.</t>
  </si>
  <si>
    <t>Postwar</t>
  </si>
  <si>
    <t>Slower pacing and less immediate plot tension.</t>
  </si>
  <si>
    <t>War not yet central.</t>
  </si>
  <si>
    <t>Fun character reinterpretation and dynamic chemistry.</t>
  </si>
  <si>
    <t>Less grounded in serious plot stakes.</t>
  </si>
  <si>
    <t>Viktor supports from afar and later engages in rebuilding.</t>
  </si>
  <si>
    <t>Rich worldbuilding and long-term consequences.</t>
  </si>
  <si>
    <t>Length and complexity may dilute focus.</t>
  </si>
  <si>
    <t>Strong emotional and coming-of-age elements.</t>
  </si>
  <si>
    <t>Limited impact on broader narrative stakes.</t>
  </si>
  <si>
    <t>After the war, Hermione escapes trauma and reconnects with Viktor, rebuilding their relationship.</t>
  </si>
  <si>
    <t>Viktor provides refuge and emotional support.</t>
  </si>
  <si>
    <t>Intense emotional healing and angst.</t>
  </si>
  <si>
    <t>Plot can feel secondary to drama.</t>
  </si>
  <si>
    <t>Unique dark tone and powerful characterizations.</t>
  </si>
  <si>
    <t>Heavy themes may overshadow romance.</t>
  </si>
  <si>
    <t>Expansive AU worldbuilding.</t>
  </si>
  <si>
    <t>Viktor remains mostly outside war efforts.</t>
  </si>
  <si>
    <t>Light tone and relationship focus.</t>
  </si>
  <si>
    <t>Less depth in larger narrative stakes.</t>
  </si>
  <si>
    <t>Post-war Hermione seeks refuge with Viktor while dealing with trauma and recovery.</t>
  </si>
  <si>
    <t>Viktor provides safety and emotional healing.</t>
  </si>
  <si>
    <t>Deep trauma exploration and healing arc.</t>
  </si>
  <si>
    <t>Dark themes may be overwhelming.</t>
  </si>
  <si>
    <t>Strong blend of philosophy and relationship.</t>
  </si>
  <si>
    <t>Limited scale due to isolated setting.</t>
  </si>
  <si>
    <t>Rich alternate character dynamics.</t>
  </si>
  <si>
    <t>War not central; more political/social conflicts.</t>
  </si>
  <si>
    <t>Creative AU concepts (soulmates, mythology).</t>
  </si>
  <si>
    <t>Can feel disconnected from canon stakes.</t>
  </si>
  <si>
    <t>Post-war story focusing on healing, relationships, and a concurrent mystery plot.</t>
  </si>
  <si>
    <t>Viktor supports in post-war recovery phase.</t>
  </si>
  <si>
    <t>Balanced healing and mystery elements.</t>
  </si>
  <si>
    <t>Strong emotional intensity in short form.</t>
  </si>
  <si>
    <t>Deep ethical dilemmas and character study.</t>
  </si>
  <si>
    <t>It begins from the post-Triwizard correspondence and extends the idea that Hermione and Viktor continue their connection instead of fading apart after GoF.</t>
  </si>
  <si>
    <t>Hermione is sent to Durmstrang in a postwar educational exchange; the exchange setting is the main premise rather than a prelude into familiar GoF canon.</t>
  </si>
  <si>
    <t>It is explicitly “Triwizard Tournament, and beyond,” so it reads as a GoF-based continuation rather than a disconnected AU premise.</t>
  </si>
  <si>
    <t>The author explicitly says canon is followed through year 5 and that the AU depends on Hermione and Viktor becoming/staying serious from that earlier canon connection; it is still fundamentally a “what changes if Vikmione continues?” fic.</t>
  </si>
  <si>
    <t>The relationship resumes twelve years later, with war damage and emotional aftermath clearly structuring the story.</t>
  </si>
  <si>
    <t>It is a GoF retelling/reworking centered on fourth year and Viktor’s entrance into Hermione’s life.</t>
  </si>
  <si>
    <t>It starts after the war, and both the letters and the story frame are built around injury, aftermath, rebuilding, and healing.</t>
  </si>
  <si>
    <t>It is a Triwizard-era romance AU, so it still fits the GoF-starting branch better than Alternate Reality.</t>
  </si>
  <si>
    <t>The summary explicitly says the war has ended and Hermione’s pain is only beginning, which places the fic in recovery/aftermath territory.</t>
  </si>
  <si>
    <t>Your correction is right: the divergence happens in second year, with Hogwarts closed and Hermione relocated to Durmstrang; that is too structurally different to count as GoF canon-div under your rubric.</t>
  </si>
  <si>
    <t>Hermione is a Beauxbatons student in a large-scale AU beginning well before GoF; even though Triwizard appears, the fic’s core setting is a fundamentally different life path.</t>
  </si>
  <si>
    <t>It starts just before GoF, in Bulgaria, and is explicitly tagged as pre–Quidditch World Cup / canon divergence tied to the GoF period.</t>
  </si>
  <si>
    <t>Its premise is basically “what if they did not drift apart but stayed together despite what comes,” which is exactly your canon-div logic.</t>
  </si>
  <si>
    <t>It opens after the Battle of Hogwarts, with Hermione writing to Viktor for support and safety; healing is central.</t>
  </si>
  <si>
    <t>Intermezzo</t>
  </si>
  <si>
    <t>This is the clearest new fit for the added category: a DH-era interruption/visit during the Horcrux hunt, with emotional importance but not a full-scale reengineering of the HP plot.</t>
  </si>
  <si>
    <t>Even though some divergences begin earlier, the summary explicitly says it follows canon mostly until the end of GoF and then detours, so under your scheme it still belongs with canon-div rather than full Alternate Reality.</t>
  </si>
  <si>
    <t>Marriage law, soulmates, past lives, and a heavily reworked magical-social framework place it well outside a GoF-continuation or postwar-healing structure.</t>
  </si>
  <si>
    <t>It is explicitly tagged post-war/PTSD and built around trauma recovery.</t>
  </si>
  <si>
    <t>This one-shot happens on the eve of DH flight / just before Bill and Fleur’s wedding, with Hermione arranging a private meeting with Viktor under the shadow of war; that fits your “short intersect” definition better than canon-div.</t>
  </si>
  <si>
    <t>After the war, Hermione returns from years of mastery study and collides with Viktor in a marriage-law plot shaped by ritual magic, old lore, and Ministry politics.</t>
  </si>
  <si>
    <t>Viktor does not fight in the canon war plot here; his main “war solution” role is surviving the aftermath, escaping one marriage law, and becoming part of Hermione’s postwar restructuring of life and magic.</t>
  </si>
  <si>
    <t>Viktor is already integrated into the resistance-side strategy before the war fully unfolds; he helps protect Harry and Hermione and is part of the group countering Dumbledore’s manipulation.</t>
  </si>
  <si>
    <t>Years after Hogwarts and after the war, Hermione works as a mediwitch in Bulgaria, reconnects with Viktor through the Vratsa Vultures and Blaguna’s flower shop, and rebuilds a love that survived silence, war, and separation.</t>
  </si>
  <si>
    <t>Viktor did not join Harry’s canon war mission; instead, the war’s role is separation, unanswered letters, and the damage both must live through before finding each other again.</t>
  </si>
  <si>
    <t>A decade after Voldemort’s fall, Auror Viktor investigates terrorism and international magical crime in a fragile postwar world while Hermione’s research becomes entangled with the case.</t>
  </si>
  <si>
    <t>Viktor does not join the core war action; instead he waits, writes, remains emotionally tethered to Hermione, and is kept at a distance from her wartime burden.</t>
  </si>
  <si>
    <t>Starting as early as 1992 and ranging across Hogwarts, Durmstrang, and other international settings, the story explores Hermione’s growth and Viktor’s life with an affliction through expansive worldbuilding that only loosely “plays around canon.”</t>
  </si>
  <si>
    <t>No clear canon-war solution is central yet; the story is more about formative development, relationships, learning, and Viktor’s personal challenges than the Voldemort war itself.</t>
  </si>
  <si>
    <t>A GoF reimagining where Hermione falls for Viktor while juggling house-elf activism, friendship crises, dark magic, and mystery.</t>
  </si>
  <si>
    <t>The war itself is not yet central; this is primarily a fourth-year reworking that sets up a different emotional and plot trajectory before the Voldemort endgame.</t>
  </si>
  <si>
    <t>This is post-canon, time-travel, alternate-timeline metafiction. It is not GoF-based canon-div, and it is not primarily a war-healing reunion either. Its core setting is structurally outside ordinary canon, so alternate reality fits best.</t>
  </si>
  <si>
    <t>Although divergence begins after PoA, the fic is still built to run directly into a reworked fourth year / Triwizard trajectory rather than relocating Hermione into a wholly separate reality. Under your narrower scheme, this still fits canon-div better than alternate reality.</t>
  </si>
  <si>
    <t>The defining event is a short post-GoF summer visit to Bulgaria. Even though the relationship echoes into later years, the story is not primarily “what if they stayed together and changed HP canon?” It is closer to a strong intersect that leaves the larger canon largely intact.</t>
  </si>
  <si>
    <t>Focus</t>
  </si>
  <si>
    <t>Plot Summary</t>
  </si>
  <si>
    <t>Strongest Point</t>
  </si>
  <si>
    <t>Weakest Point</t>
  </si>
  <si>
    <t>Type Justification</t>
  </si>
  <si>
    <t>Complexity can be overwhelming</t>
  </si>
  <si>
    <t>Extremely large scope.</t>
  </si>
  <si>
    <r>
      <t xml:space="preserve">The best element is the </t>
    </r>
    <r>
      <rPr>
        <b/>
        <sz val="10"/>
        <color theme="1"/>
        <rFont val="Calibri"/>
        <family val="2"/>
        <scheme val="minor"/>
      </rPr>
      <t>meta-ethical treatment of alternate timelines and consequences</t>
    </r>
    <r>
      <rPr>
        <sz val="10"/>
        <color theme="1"/>
        <rFont val="Calibri"/>
        <family val="2"/>
        <scheme val="minor"/>
      </rPr>
      <t>.</t>
    </r>
  </si>
  <si>
    <r>
      <t xml:space="preserve">The weakest element is that the central conflict is driven more by </t>
    </r>
    <r>
      <rPr>
        <b/>
        <sz val="10"/>
        <color theme="1"/>
        <rFont val="Calibri"/>
        <family val="2"/>
        <scheme val="minor"/>
      </rPr>
      <t>marriage-law mechanics</t>
    </r>
    <r>
      <rPr>
        <sz val="10"/>
        <color theme="1"/>
        <rFont val="Calibri"/>
        <family val="2"/>
        <scheme val="minor"/>
      </rPr>
      <t xml:space="preserve"> than by wider wizarding-world consequences.</t>
    </r>
  </si>
  <si>
    <r>
      <t xml:space="preserve">The best element is the </t>
    </r>
    <r>
      <rPr>
        <b/>
        <sz val="10"/>
        <color theme="1"/>
        <rFont val="Calibri"/>
        <family val="2"/>
        <scheme val="minor"/>
      </rPr>
      <t>gentle postwar reconnection in Bulgaria</t>
    </r>
    <r>
      <rPr>
        <sz val="10"/>
        <color theme="1"/>
        <rFont val="Calibri"/>
        <family val="2"/>
        <scheme val="minor"/>
      </rPr>
      <t>, especially the emotional role of the flower shop as a place of healing and belonging.</t>
    </r>
  </si>
  <si>
    <r>
      <t xml:space="preserve">The weakest element is that the larger war consequences stay mostly </t>
    </r>
    <r>
      <rPr>
        <b/>
        <sz val="10"/>
        <color theme="1"/>
        <rFont val="Calibri"/>
        <family val="2"/>
        <scheme val="minor"/>
      </rPr>
      <t>personal and domestic</t>
    </r>
    <r>
      <rPr>
        <sz val="10"/>
        <color theme="1"/>
        <rFont val="Calibri"/>
        <family val="2"/>
        <scheme val="minor"/>
      </rPr>
      <t>, rather than deeply political or strategic.</t>
    </r>
  </si>
  <si>
    <r>
      <t xml:space="preserve">The weakest element is that the fic’s core energy often sits more in </t>
    </r>
    <r>
      <rPr>
        <b/>
        <sz val="10"/>
        <color theme="1"/>
        <rFont val="Calibri"/>
        <family val="2"/>
        <scheme val="minor"/>
      </rPr>
      <t>casework and politics</t>
    </r>
    <r>
      <rPr>
        <sz val="10"/>
        <color theme="1"/>
        <rFont val="Calibri"/>
        <family val="2"/>
        <scheme val="minor"/>
      </rPr>
      <t xml:space="preserve"> than in the romance itself.</t>
    </r>
  </si>
  <si>
    <r>
      <t xml:space="preserve">The best element is the </t>
    </r>
    <r>
      <rPr>
        <b/>
        <sz val="10"/>
        <color theme="1"/>
        <rFont val="Calibri"/>
        <family val="2"/>
        <scheme val="minor"/>
      </rPr>
      <t>international, language-and-culture-heavy worldbuilding</t>
    </r>
    <r>
      <rPr>
        <sz val="10"/>
        <color theme="1"/>
        <rFont val="Calibri"/>
        <family val="2"/>
        <scheme val="minor"/>
      </rPr>
      <t xml:space="preserve"> around Hermione and Viktor.</t>
    </r>
  </si>
  <si>
    <r>
      <t xml:space="preserve">The weakest element is that the story’s breadth makes it feel </t>
    </r>
    <r>
      <rPr>
        <b/>
        <sz val="10"/>
        <color theme="1"/>
        <rFont val="Calibri"/>
        <family val="2"/>
        <scheme val="minor"/>
      </rPr>
      <t>less anchored to a specific canon conflict</t>
    </r>
    <r>
      <rPr>
        <sz val="10"/>
        <color theme="1"/>
        <rFont val="Calibri"/>
        <family val="2"/>
        <scheme val="minor"/>
      </rPr>
      <t>.</t>
    </r>
  </si>
  <si>
    <r>
      <t xml:space="preserve">It is a branch from </t>
    </r>
    <r>
      <rPr>
        <i/>
        <sz val="10"/>
        <color theme="1"/>
        <rFont val="Calibri"/>
        <family val="2"/>
        <scheme val="minor"/>
      </rPr>
      <t>Alignment</t>
    </r>
    <r>
      <rPr>
        <sz val="10"/>
        <color theme="1"/>
        <rFont val="Calibri"/>
        <family val="2"/>
        <scheme val="minor"/>
      </rPr>
      <t xml:space="preserve"> and explicitly defined by Hermione and Viktor staying together after the Triwizard connection; the story’s whole question is what that does to canon relationships and the war.</t>
    </r>
  </si>
  <si>
    <r>
      <t xml:space="preserve">It explicitly starts </t>
    </r>
    <r>
      <rPr>
        <sz val="10"/>
        <color theme="1"/>
        <rFont val="Calibri"/>
        <family val="2"/>
        <scheme val="minor"/>
      </rPr>
      <t>after the war, with Hermione returning from postwar mastery study and the plot grounded in rebuilding life, magical practice, and adult political structures rather than GoF continuity.</t>
    </r>
  </si>
  <si>
    <r>
      <t xml:space="preserve">The romance begins years later in a life clearly shaped by the </t>
    </r>
    <r>
      <rPr>
        <sz val="10"/>
        <color theme="1"/>
        <rFont val="Calibri"/>
        <family val="2"/>
        <scheme val="minor"/>
      </rPr>
      <t>aftermath of war, Hermione’s need for purpose, and the emotional damage of separation. The war is not just background history; it explains the whole setup.</t>
    </r>
  </si>
  <si>
    <r>
      <t xml:space="preserve">This is a decade-later fic, but the summary makes clear that the </t>
    </r>
    <r>
      <rPr>
        <sz val="10"/>
        <color theme="1"/>
        <rFont val="Calibri"/>
        <family val="2"/>
        <scheme val="minor"/>
      </rPr>
      <t>instability of the postwar wizarding world is the engine of the plot. That keeps it in postwar rather than generic alternate reality.</t>
    </r>
  </si>
  <si>
    <r>
      <t xml:space="preserve">It starts in </t>
    </r>
    <r>
      <rPr>
        <sz val="10"/>
        <color theme="1"/>
        <rFont val="Calibri"/>
        <family val="2"/>
        <scheme val="minor"/>
      </rPr>
      <t>fourth year, builds from Yule Ball / library interactions, and explicitly carries that relationship forward through later canon, which is exactly your canon-div model.</t>
    </r>
  </si>
  <si>
    <r>
      <t xml:space="preserve">It starts as early as </t>
    </r>
    <r>
      <rPr>
        <sz val="10"/>
        <color theme="1"/>
        <rFont val="Calibri"/>
        <family val="2"/>
        <scheme val="minor"/>
      </rPr>
      <t>1992, expands into international schools and invented affliction/worldbuilding, and only “plays around canon.” That is too structurally different from your GoF-starting canon-div definition.</t>
    </r>
  </si>
  <si>
    <r>
      <t xml:space="preserve">Despite demon deals, magical bonds, and ritual additions, the fic is still fundamentally a </t>
    </r>
    <r>
      <rPr>
        <sz val="10"/>
        <color theme="1"/>
        <rFont val="Calibri"/>
        <family val="2"/>
        <scheme val="minor"/>
      </rPr>
      <t>1994 / Triwizard Vikmione story that reworks GoF from inside that era rather than replacing the setting wholesale.</t>
    </r>
  </si>
  <si>
    <r>
      <t xml:space="preserve">It is explicitly a </t>
    </r>
    <r>
      <rPr>
        <sz val="10"/>
        <color theme="1"/>
        <rFont val="Calibri"/>
        <family val="2"/>
        <scheme val="minor"/>
      </rPr>
      <t>Goblet of Fire reimagining, with Hermione/Viktor romance embedded in book 4 mystery and plot. That is almost the cleanest possible canon-div fit.</t>
    </r>
  </si>
  <si>
    <t>Viktor actively joins Hermione in a ruthless, strategic Horcrux hunt, reshaping the outcome of the war.</t>
  </si>
  <si>
    <t>AU where Hermione leaves Hogwarts for Viktor in Bulgaria and Dumbledore has to find an alternative for letting the trio search for horcruxes.</t>
  </si>
  <si>
    <t>Hermione and Viktor's library friendship in GoF grows into romance and continues forward through later school years and into Deathly Hallows.</t>
  </si>
  <si>
    <t>Set in 1994 around the Triwizard Tournament, the fic intensifies the GoF connection with magical bonds, Slavic rituals, dark magic, and a much more mythic and intimate Hermione/Viktor relationship.</t>
  </si>
  <si>
    <t>AU where Snape mentors Hermione, altering her path and relationships, including Viktor.</t>
  </si>
  <si>
    <t>Hermione Granger and Viktor Krum maintain a relationship after the Triwizard Tournament. The story is told in the form of letters.</t>
  </si>
  <si>
    <t>A GoF reinterpretation, focusing on Hermione and Viktor’s early romantic development.</t>
  </si>
  <si>
    <t>AU retelling of GoF events with a more rebellious Hermione and intensified relationship.</t>
  </si>
  <si>
    <t>Viktor participates in the war contextually.</t>
  </si>
  <si>
    <t>Viktor’s wartime role is not yet in the main point; at this stage he is being positioned as Hermione’s magically significant partner before the later war period.</t>
  </si>
  <si>
    <t>Viktor’s final war role appears to be as Hermione’s continuing partner across the war years, but as this is WIP, the full wartime resolution is still unknown.</t>
  </si>
  <si>
    <t>Viktor takes Hermione with him to Bulgaria, preventing her from ever having to fight the war.</t>
  </si>
  <si>
    <t>Viktor remains external to core war effort, as the story is WIP and stops after Ootp.</t>
  </si>
  <si>
    <t>Viktor directly joins the Horcrux hunt and significantly alters the war outcome.</t>
  </si>
  <si>
    <t>Intimate epistolary format, that enhances the emotional depth.</t>
  </si>
  <si>
    <t>Very long with inconsistent pacing.</t>
  </si>
  <si>
    <r>
      <t xml:space="preserve">Bcaused the work is still incomplete, its full larger-war payoff remains </t>
    </r>
    <r>
      <rPr>
        <b/>
        <sz val="10"/>
        <color theme="1"/>
        <rFont val="Calibri"/>
        <family val="2"/>
        <scheme val="minor"/>
      </rPr>
      <t>unresolved</t>
    </r>
    <r>
      <rPr>
        <sz val="10"/>
        <color theme="1"/>
        <rFont val="Calibri"/>
        <family val="2"/>
        <scheme val="minor"/>
      </rPr>
      <t>.</t>
    </r>
  </si>
  <si>
    <r>
      <t xml:space="preserve">The </t>
    </r>
    <r>
      <rPr>
        <sz val="10"/>
        <color theme="1"/>
        <rFont val="Calibri"/>
        <family val="2"/>
        <scheme val="minor"/>
      </rPr>
      <t>balance between romance and mystery inside a recognizably GoF framework.</t>
    </r>
  </si>
  <si>
    <r>
      <t xml:space="preserve">The </t>
    </r>
    <r>
      <rPr>
        <sz val="10"/>
        <color theme="1"/>
        <rFont val="Calibri"/>
        <family val="2"/>
        <scheme val="minor"/>
      </rPr>
      <t>slow emotional accumulation from the Yule Ball era and intimacy onward.</t>
    </r>
  </si>
  <si>
    <r>
      <t xml:space="preserve">The </t>
    </r>
    <r>
      <rPr>
        <sz val="10"/>
        <color theme="1"/>
        <rFont val="Calibri"/>
        <family val="2"/>
        <scheme val="minor"/>
      </rPr>
      <t>ritual-heavy, culturally specific expansion of Viktor’s side of the world.</t>
    </r>
  </si>
  <si>
    <r>
      <t xml:space="preserve">The </t>
    </r>
    <r>
      <rPr>
        <b/>
        <sz val="10"/>
        <color theme="1"/>
        <rFont val="Calibri"/>
        <family val="2"/>
        <scheme val="minor"/>
      </rPr>
      <t>high-stakes conspiracy plot</t>
    </r>
    <r>
      <rPr>
        <sz val="10"/>
        <color theme="1"/>
        <rFont val="Calibri"/>
        <family val="2"/>
        <scheme val="minor"/>
      </rPr>
      <t>: Hermione’s altered education has immediate political and magical consequences.</t>
    </r>
  </si>
  <si>
    <r>
      <t xml:space="preserve">The </t>
    </r>
    <r>
      <rPr>
        <b/>
        <sz val="10"/>
        <color theme="1"/>
        <rFont val="Calibri"/>
        <family val="2"/>
        <scheme val="minor"/>
      </rPr>
      <t>Vikmione relationship is mostly a setup rather than a fully developed romance</t>
    </r>
    <r>
      <rPr>
        <sz val="10"/>
        <color theme="1"/>
        <rFont val="Calibri"/>
        <family val="2"/>
        <scheme val="minor"/>
      </rPr>
      <t>.</t>
    </r>
  </si>
  <si>
    <t>The added dark/ritual mechanics can pull the story a bit away from the cleaner emotional line of GoF.</t>
  </si>
  <si>
    <r>
      <t xml:space="preserve">As the story is spanning many years, the plot can feel </t>
    </r>
    <r>
      <rPr>
        <b/>
        <sz val="10"/>
        <color theme="1"/>
        <rFont val="Calibri"/>
        <family val="2"/>
        <scheme val="minor"/>
      </rPr>
      <t>broad and diffuse</t>
    </r>
    <r>
      <rPr>
        <sz val="10"/>
        <color theme="1"/>
        <rFont val="Calibri"/>
        <family val="2"/>
        <scheme val="minor"/>
      </rPr>
      <t xml:space="preserve"> rather than sharply concentrated.</t>
    </r>
  </si>
  <si>
    <t>Less focus on the wider plot consequences.</t>
  </si>
  <si>
    <t>Short, emotional exploration of Hermione and Viktor’s relationship between HBP and DH.</t>
  </si>
  <si>
    <t>Limited depth due to its length.</t>
  </si>
  <si>
    <t>Hermione visits Viktor in Bulgaria after GoF; the story then stretches across years with letters, interruption, war, and eventually they are reunited.</t>
  </si>
  <si>
    <r>
      <t xml:space="preserve">The </t>
    </r>
    <r>
      <rPr>
        <b/>
        <sz val="10"/>
        <color theme="1"/>
        <rFont val="Calibri"/>
        <family val="2"/>
        <scheme val="minor"/>
      </rPr>
      <t>intensity of the temporary connection</t>
    </r>
    <r>
      <rPr>
        <sz val="10"/>
        <color theme="1"/>
        <rFont val="Calibri"/>
        <family val="2"/>
        <scheme val="minor"/>
      </rPr>
      <t xml:space="preserve"> and the sense of a love deferred rather than erased.</t>
    </r>
  </si>
  <si>
    <r>
      <t xml:space="preserve">The relationship has </t>
    </r>
    <r>
      <rPr>
        <b/>
        <sz val="10"/>
        <color theme="1"/>
        <rFont val="Calibri"/>
        <family val="2"/>
        <scheme val="minor"/>
      </rPr>
      <t>little effect on the larger HP plot.</t>
    </r>
  </si>
  <si>
    <t>The war is mostly background.</t>
  </si>
  <si>
    <t>Hermione trains in Bulgaria and grows closer to Viktor between PoS and GoF.</t>
  </si>
  <si>
    <t>The war is not yet central; The story is pre-war development.</t>
  </si>
  <si>
    <t>Strong slow-burn relationship integrated with a good plot.</t>
  </si>
  <si>
    <t>The story has a limited impact on main HP events.</t>
  </si>
  <si>
    <t>During the Horcrux hunt, Hermione and Harry visit Viktor and Hermione and Viktor reconnect while forced into isolation.</t>
  </si>
  <si>
    <t>Viktor is indirectly involved during the Horcrux hunt.</t>
  </si>
  <si>
    <t>Explores a destiny-bound relationship between Hermione and Viktor starting from Hogwarts years. The story ends after GoF and plans on a sequal, but that sequal does not exist.</t>
  </si>
  <si>
    <t>Complete, but sequal misses</t>
  </si>
  <si>
    <t>Complete, but sequel misses</t>
  </si>
  <si>
    <t>Beginning between third and fourth year, Hermione gets a “unique educational opportunity,” uncovers Dumbledore as an active threat, and becomes part of a much more strategic anti-Dumbledore / anti-manipulation fourth-year storyline around the Triwizard setup. It is part of a series, but the sequel misses.</t>
  </si>
  <si>
    <t>Hermione is sent to Durmstrang in a student exchange and builds a relationship with Viktor in a foreign setting. The horcruxes are already destroyed before Hermione leaves to Durmstrang.</t>
  </si>
  <si>
    <t>Hermione studies abroad in France in a heavy AU setting with altered canon elements.</t>
  </si>
  <si>
    <t>War elements exist but are seriously restructured in AU.</t>
  </si>
  <si>
    <t>The Hermione/Viktor relationship is not always not always the central focus.</t>
  </si>
  <si>
    <t>Following Cursed Child, Harry confronts alternate timelines through the Veil that once killed Sirius. Harry, Ron and Hermione discover the possible impact of Viktor Krum on the war.</t>
  </si>
  <si>
    <t>Viktor has no direct active war role in the present timeline; the story is about retrospectively examining alternative timelines where Viktor prevented the Battle of Hogwarts.</t>
  </si>
  <si>
    <r>
      <t>The weakest element is that Viktor/Hermione is</t>
    </r>
    <r>
      <rPr>
        <sz val="10"/>
        <color theme="1"/>
        <rFont val="Calibri"/>
        <family val="2"/>
        <scheme val="minor"/>
      </rPr>
      <t xml:space="preserve"> more about tension and history than a central-lived romance.</t>
    </r>
  </si>
  <si>
    <t>Soulmate AU with magical traditions, politics, and a complex Hermione/Viktor bond. Marriage law, soulmates, past lives, and a heavily reworked magical-social framework place it well outside a GoF-continuation or postwar-healing structure.</t>
  </si>
  <si>
    <t>Hermione transfers to Durmstrang after Hogwarts closed in CoS. Dark AU with Durmstrang elements, magic, and a more dangerous version of both characters.</t>
  </si>
  <si>
    <t>Viktor is involved in darker, war-adjacent conflicts.</t>
  </si>
  <si>
    <t>Starts with Hermione and Viktor dating in GoF. They break up, but years after the war, Hermione and Viktor reconnect, dealing with emotional baggage and political change.</t>
  </si>
  <si>
    <t>Explores the consequences of Hermione’s post-war decisions, with political and personal ramifications.</t>
  </si>
  <si>
    <t>Viktor waits during the war; the conflict is emotional aftermath rather than combat.</t>
  </si>
  <si>
    <t>Mature exploration of healing and second chances. Stellar Characterizations.</t>
  </si>
  <si>
    <r>
      <t xml:space="preserve">Viktor’s war role is displaced into </t>
    </r>
    <r>
      <rPr>
        <sz val="10"/>
        <color theme="1"/>
        <rFont val="Calibri"/>
        <family val="2"/>
        <scheme val="minor"/>
      </rPr>
      <t>postwar defense: instead of Horcrux-hunt participation, he fights the instability, radicalization, and violence that survived Voldemort.</t>
    </r>
  </si>
  <si>
    <r>
      <t xml:space="preserve">The best element is the </t>
    </r>
    <r>
      <rPr>
        <b/>
        <sz val="10"/>
        <color theme="1"/>
        <rFont val="Calibri"/>
        <family val="2"/>
        <scheme val="minor"/>
      </rPr>
      <t>political-thriller / detective structure</t>
    </r>
    <r>
      <rPr>
        <sz val="10"/>
        <color theme="1"/>
        <rFont val="Calibri"/>
        <family val="2"/>
        <scheme val="minor"/>
      </rPr>
      <t xml:space="preserve"> with strong wizarding-world after-the-war worldbuilding.</t>
    </r>
  </si>
  <si>
    <r>
      <t xml:space="preserve">The best element is the fusion of </t>
    </r>
    <r>
      <rPr>
        <b/>
        <sz val="10"/>
        <color theme="1"/>
        <rFont val="Calibri"/>
        <family val="2"/>
        <scheme val="minor"/>
      </rPr>
      <t>postwar reconstruction with the rituals and runes worldbuilding</t>
    </r>
    <r>
      <rPr>
        <sz val="10"/>
        <color theme="1"/>
        <rFont val="Calibri"/>
        <family val="2"/>
        <scheme val="minor"/>
      </rPr>
      <t>.</t>
    </r>
  </si>
  <si>
    <t>Hermione/Viktor is not always the primary focus.</t>
  </si>
  <si>
    <t>bexchan</t>
  </si>
  <si>
    <t>speechwriter</t>
  </si>
  <si>
    <t>Author</t>
  </si>
  <si>
    <t>URL</t>
  </si>
  <si>
    <t>Public Score</t>
  </si>
  <si>
    <t>Major series with multiple parallel universes, each with their own separate plots, showing the changes in history with respect to Hermione's romantic choices regarding Viktor and Ron.</t>
  </si>
  <si>
    <t>Depends on the branch, Viktor either leaves Hermione, fights with her, or takes her to Bulgaria away from the war.</t>
  </si>
  <si>
    <t>Consistency with canonical events, excellent characterizations and strong emphasis on ethics.</t>
  </si>
  <si>
    <t>The parallel universes structure can be complex.</t>
  </si>
  <si>
    <t>The startpoint is GoF and the story stays canon-faithful up to a clear divergence point.</t>
  </si>
  <si>
    <t>https://archiveofourown.org/series/5376601</t>
  </si>
  <si>
    <t>doe (outdated)</t>
  </si>
  <si>
    <t>Sampling point of WIP was too new to have a meaningful part of the story.</t>
  </si>
  <si>
    <t>Outdated</t>
  </si>
  <si>
    <t>Reduction</t>
  </si>
  <si>
    <t>Total Hits</t>
  </si>
  <si>
    <t>Years since Publication</t>
  </si>
  <si>
    <t>Execution Score</t>
  </si>
  <si>
    <t>The best element is the political-thriller / detective structure with strong wizarding-world after-the-war worldbuilding.</t>
  </si>
  <si>
    <t>The weakest element is that the fic’s core energy often sits more in casework and politics than in the romance itself.</t>
  </si>
  <si>
    <t>Viktor’s war role is displaced into postwar defense: instead of Horcrux-hunt participation, he fights the instability, radicalization, and violence that survived Voldemort.</t>
  </si>
  <si>
    <t>The balance between romance and mystery inside a recognizably GoF framework.</t>
  </si>
  <si>
    <t>Bcaused the work is still incomplete, its full larger-war payoff remains unresolved.</t>
  </si>
  <si>
    <t>The best element is the international, language-and-culture-heavy worldbuilding around Hermione and Viktor.</t>
  </si>
  <si>
    <t>The weakest element is that the story’s breadth makes it feel less anchored to a specific canon conflict.</t>
  </si>
  <si>
    <t>The best element is the gentle postwar reconnection in Bulgaria, especially the emotional role of the flower shop as a place of healing and belonging.</t>
  </si>
  <si>
    <t>The weakest element is that the larger war consequences stay mostly personal and domestic, rather than deeply political or strategic.</t>
  </si>
  <si>
    <t>The slow emotional accumulation from the Yule Ball era and intimacy onward.</t>
  </si>
  <si>
    <t>As the story is spanning many years, the plot can feel broad and diffuse rather than sharply concentrated.</t>
  </si>
  <si>
    <t>The ritual-heavy, culturally specific expansion of Viktor’s side of the world.</t>
  </si>
  <si>
    <t>The best element is the fusion of postwar reconstruction with the rituals and runes worldbuilding.</t>
  </si>
  <si>
    <t>The weakest element is that the central conflict is driven more by marriage-law mechanics than by wider wizarding-world consequences.</t>
  </si>
  <si>
    <t>The best element is the meta-ethical treatment of alternate timelines and consequences.</t>
  </si>
  <si>
    <t>The weakest element is that Viktor/Hermione is more about tension and history than a central-lived romance.</t>
  </si>
  <si>
    <t>The intensity of the temporary connection and the sense of a love deferred rather than erased.</t>
  </si>
  <si>
    <t>The relationship has little effect on the larger HP plot.</t>
  </si>
  <si>
    <t>The high-stakes conspiracy plot: Hermione’s altered education has immediate political and magical consequences.</t>
  </si>
  <si>
    <t>The Vikmione relationship is mostly a setup rather than a fully developed romance.</t>
  </si>
  <si>
    <t>Popularity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</si>
</sst>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b/>
      <sz val="11"/>
      <color theme="1"/>
      <name val="Calibri"/>
      <family val="2"/>
      <scheme val="minor"/>
    </font>
    <font>
      <sz val="10"/>
      <color theme="1"/>
      <name val="Times New Roman"/>
      <family val="1"/>
    </font>
    <font>
      <b/>
      <sz val="16"/>
      <color theme="1"/>
      <name val="Times New Roman"/>
      <family val="1"/>
    </font>
    <font>
      <sz val="18"/>
      <color theme="1"/>
      <name val="Times New Roman"/>
      <family val="1"/>
    </font>
    <font>
      <sz val="8"/>
      <name val="Calibri"/>
      <family val="2"/>
      <scheme val="minor"/>
    </font>
    <font>
      <u/>
      <sz val="11"/>
      <color theme="10"/>
      <name val="Calibri"/>
      <family val="2"/>
      <scheme val="minor"/>
    </font>
    <font>
      <sz val="12"/>
      <color theme="1"/>
      <name val="Times New Roman"/>
      <family val="1"/>
    </font>
    <font>
      <sz val="16"/>
      <color theme="1"/>
      <name val="Times New Roman"/>
      <family val="1"/>
    </font>
    <font>
      <b/>
      <sz val="11"/>
      <color theme="0"/>
      <name val="Calibri"/>
      <family val="2"/>
      <scheme val="minor"/>
    </font>
    <font>
      <sz val="16"/>
      <name val="Times New Roman"/>
      <family val="1"/>
    </font>
    <font>
      <sz val="18"/>
      <name val="Times New Roman"/>
      <family val="1"/>
    </font>
    <font>
      <sz val="11"/>
      <name val="Calibri"/>
      <family val="2"/>
      <scheme val="minor"/>
    </font>
    <font>
      <b/>
      <sz val="12"/>
      <color theme="1"/>
      <name val="Times New Roman"/>
      <family val="1"/>
    </font>
    <font>
      <b/>
      <sz val="10"/>
      <color theme="1"/>
      <name val="Calibri"/>
      <family val="2"/>
      <scheme val="minor"/>
    </font>
    <font>
      <sz val="10"/>
      <color theme="1"/>
      <name val="Calibri"/>
      <family val="2"/>
      <scheme val="minor"/>
    </font>
    <font>
      <i/>
      <sz val="10"/>
      <color theme="1"/>
      <name val="Calibri"/>
      <family val="2"/>
      <scheme val="minor"/>
    </font>
    <font>
      <u/>
      <sz val="10"/>
      <color rgb="FF0070C0"/>
      <name val="Times New Roman"/>
      <family val="1"/>
    </font>
    <font>
      <b/>
      <i/>
      <sz val="16"/>
      <name val="Times New Roman"/>
      <family val="1"/>
    </font>
    <font>
      <sz val="12"/>
      <color theme="0"/>
      <name val="Times New Roman"/>
      <family val="1"/>
    </font>
  </fonts>
  <fills count="2">
    <fill>
      <patternFill patternType="none"/>
    </fill>
    <fill>
      <patternFill patternType="gray125"/>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5">
    <xf numFmtId="0" fontId="0" fillId="0" borderId="0" xfId="0"/>
    <xf numFmtId="0" fontId="0" fillId="0" borderId="0" xfId="0" applyAlignment="1">
      <alignment vertical="center" wrapText="1"/>
    </xf>
    <xf numFmtId="0" fontId="1" fillId="0" borderId="0" xfId="0" applyFont="1" applyAlignment="1">
      <alignment vertical="center" wrapText="1"/>
    </xf>
    <xf numFmtId="0" fontId="2" fillId="0" borderId="0" xfId="0" applyFont="1" applyAlignment="1">
      <alignment vertical="center" wrapText="1"/>
    </xf>
    <xf numFmtId="0" fontId="3" fillId="0" borderId="0" xfId="0" applyFont="1" applyAlignment="1">
      <alignment vertical="center" wrapText="1"/>
    </xf>
    <xf numFmtId="0" fontId="1" fillId="0" borderId="0" xfId="0" applyFont="1"/>
    <xf numFmtId="0" fontId="4" fillId="0" borderId="0" xfId="0" applyFont="1"/>
    <xf numFmtId="0" fontId="1" fillId="0" borderId="0" xfId="0" applyFont="1" applyAlignment="1">
      <alignment horizontal="left" vertical="center" wrapText="1"/>
    </xf>
    <xf numFmtId="0" fontId="7" fillId="0" borderId="0" xfId="0" applyFont="1" applyAlignment="1">
      <alignment vertical="center" wrapText="1"/>
    </xf>
    <xf numFmtId="0" fontId="7" fillId="0" borderId="0" xfId="0" applyFont="1"/>
    <xf numFmtId="0" fontId="8" fillId="0" borderId="0" xfId="0" applyFont="1" applyAlignment="1">
      <alignment vertical="center" wrapText="1"/>
    </xf>
    <xf numFmtId="0" fontId="10" fillId="0" borderId="0" xfId="0" applyFont="1" applyAlignment="1">
      <alignment vertical="center" wrapText="1"/>
    </xf>
    <xf numFmtId="0" fontId="11" fillId="0" borderId="0" xfId="0" applyFont="1"/>
    <xf numFmtId="0" fontId="12" fillId="0" borderId="0" xfId="0" applyFont="1" applyAlignment="1">
      <alignment vertical="center" wrapText="1"/>
    </xf>
    <xf numFmtId="0" fontId="12" fillId="0" borderId="0" xfId="0" applyFont="1"/>
    <xf numFmtId="0" fontId="9" fillId="0" borderId="0" xfId="0" applyFont="1" applyAlignment="1">
      <alignment horizontal="left" vertical="center" wrapText="1"/>
    </xf>
    <xf numFmtId="0" fontId="13" fillId="0" borderId="0" xfId="0" applyFont="1"/>
    <xf numFmtId="14" fontId="8" fillId="0" borderId="0" xfId="0" applyNumberFormat="1" applyFont="1" applyAlignment="1">
      <alignment vertical="center" wrapText="1"/>
    </xf>
    <xf numFmtId="0" fontId="8" fillId="0" borderId="0" xfId="0" applyFont="1"/>
    <xf numFmtId="0" fontId="17" fillId="0" borderId="0" xfId="1" applyNumberFormat="1" applyFont="1" applyAlignment="1">
      <alignment vertical="center" wrapText="1"/>
    </xf>
    <xf numFmtId="0" fontId="18" fillId="0" borderId="0" xfId="0" applyFont="1" applyAlignment="1">
      <alignment vertical="center" wrapText="1"/>
    </xf>
    <xf numFmtId="0" fontId="17" fillId="0" borderId="0" xfId="0" applyFont="1"/>
    <xf numFmtId="0" fontId="2" fillId="0" borderId="0" xfId="0" applyFont="1"/>
    <xf numFmtId="0" fontId="17" fillId="0" borderId="0" xfId="1" applyNumberFormat="1" applyFont="1"/>
    <xf numFmtId="0" fontId="19" fillId="0" borderId="0" xfId="0" applyFont="1"/>
  </cellXfs>
  <cellStyles count="2">
    <cellStyle name="Hyperlink" xfId="1" builtinId="8"/>
    <cellStyle name="Normal" xfId="0" builtinId="0"/>
  </cellStyles>
  <dxfs count="141">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dxf>
    <dxf>
      <font>
        <b val="0"/>
        <i val="0"/>
        <strike val="0"/>
        <condense val="0"/>
        <extend val="0"/>
        <outline val="0"/>
        <shadow val="0"/>
        <u val="none"/>
        <vertAlign val="baseline"/>
        <sz val="12"/>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0"/>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rgb="FFFF0000"/>
        <name val="Times New Roman"/>
        <family val="1"/>
        <scheme val="none"/>
      </font>
      <numFmt numFmtId="0" formatCode="General"/>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numFmt numFmtId="0" formatCode="General"/>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b/>
        <strike val="0"/>
        <outline val="0"/>
        <shadow val="0"/>
        <u val="none"/>
        <vertAlign val="baseline"/>
        <sz val="16"/>
        <color theme="1"/>
        <name val="Times New Roman"/>
        <family val="1"/>
        <scheme val="none"/>
      </font>
      <alignment horizontal="general" vertical="center" textRotation="0" wrapText="1" indent="0" justifyLastLine="0" shrinkToFit="0" readingOrder="0"/>
    </dxf>
    <dxf>
      <font>
        <strike val="0"/>
        <outline val="0"/>
        <shadow val="0"/>
        <u val="none"/>
        <vertAlign val="baseline"/>
        <sz val="12"/>
        <color theme="1"/>
        <name val="Times New Roman"/>
        <family val="1"/>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numFmt numFmtId="0" formatCode="General"/>
    </dxf>
    <dxf>
      <font>
        <strike val="0"/>
        <outline val="0"/>
        <shadow val="0"/>
        <u val="none"/>
        <vertAlign val="baseline"/>
        <sz val="12"/>
        <color theme="1"/>
        <name val="Times New Roman"/>
        <family val="1"/>
        <scheme val="none"/>
      </font>
      <numFmt numFmtId="0" formatCode="General"/>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numFmt numFmtId="0" formatCode="General"/>
    </dxf>
    <dxf>
      <font>
        <strike val="0"/>
        <outline val="0"/>
        <shadow val="0"/>
        <u val="none"/>
        <vertAlign val="baseline"/>
        <sz val="12"/>
        <color theme="1"/>
        <name val="Times New Roman"/>
        <family val="1"/>
        <scheme val="none"/>
      </font>
      <numFmt numFmtId="0" formatCode="General"/>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numFmt numFmtId="0" formatCode="General"/>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numFmt numFmtId="0" formatCode="General"/>
    </dxf>
    <dxf>
      <font>
        <strike val="0"/>
        <outline val="0"/>
        <shadow val="0"/>
        <u val="none"/>
        <vertAlign val="baseline"/>
        <sz val="12"/>
        <color theme="1"/>
        <name val="Times New Roman"/>
        <family val="1"/>
        <scheme val="none"/>
      </font>
    </dxf>
    <dxf>
      <font>
        <strike val="0"/>
        <outline val="0"/>
        <shadow val="0"/>
        <u val="none"/>
        <vertAlign val="baseline"/>
        <sz val="12"/>
        <color theme="1"/>
        <name val="Times New Roman"/>
        <family val="1"/>
        <scheme val="none"/>
      </font>
    </dxf>
    <dxf>
      <font>
        <strike val="0"/>
        <outline val="0"/>
        <shadow val="0"/>
        <vertAlign val="baseline"/>
        <sz val="12"/>
        <name val="Times New Roman"/>
        <family val="1"/>
        <scheme val="none"/>
      </font>
    </dxf>
    <dxf>
      <font>
        <strike val="0"/>
        <outline val="0"/>
        <shadow val="0"/>
        <vertAlign val="baseline"/>
        <sz val="12"/>
        <name val="Times New Roman"/>
        <family val="1"/>
        <scheme val="none"/>
      </font>
    </dxf>
    <dxf>
      <font>
        <strike val="0"/>
        <outline val="0"/>
        <shadow val="0"/>
        <vertAlign val="baseline"/>
        <sz val="12"/>
        <name val="Times New Roman"/>
        <family val="1"/>
        <scheme val="none"/>
      </font>
    </dxf>
    <dxf>
      <font>
        <strike val="0"/>
        <outline val="0"/>
        <shadow val="0"/>
        <u val="none"/>
        <vertAlign val="baseline"/>
        <sz val="10"/>
        <color theme="1"/>
        <name val="Times New Roman"/>
        <family val="1"/>
        <scheme val="none"/>
      </font>
      <numFmt numFmtId="0" formatCode="General"/>
    </dxf>
    <dxf>
      <font>
        <strike val="0"/>
        <outline val="0"/>
        <shadow val="0"/>
        <u val="none"/>
        <vertAlign val="baseline"/>
        <sz val="10"/>
        <color theme="1"/>
        <name val="Times New Roman"/>
        <family val="1"/>
        <scheme val="none"/>
      </font>
      <numFmt numFmtId="0" formatCode="General"/>
    </dxf>
    <dxf>
      <font>
        <strike val="0"/>
        <outline val="0"/>
        <shadow val="0"/>
        <u val="none"/>
        <vertAlign val="baseline"/>
        <sz val="10"/>
        <color theme="1"/>
        <name val="Times New Roman"/>
        <family val="1"/>
        <scheme val="none"/>
      </font>
      <numFmt numFmtId="0" formatCode="General"/>
    </dxf>
    <dxf>
      <font>
        <strike val="0"/>
        <outline val="0"/>
        <shadow val="0"/>
        <u val="none"/>
        <vertAlign val="baseline"/>
        <sz val="10"/>
        <color theme="1"/>
        <name val="Times New Roman"/>
        <family val="1"/>
        <scheme val="none"/>
      </font>
      <numFmt numFmtId="0" formatCode="General"/>
    </dxf>
    <dxf>
      <font>
        <strike val="0"/>
        <outline val="0"/>
        <shadow val="0"/>
        <vertAlign val="baseline"/>
        <sz val="12"/>
        <name val="Times New Roman"/>
        <family val="1"/>
        <scheme val="none"/>
      </font>
      <numFmt numFmtId="0" formatCode="General"/>
    </dxf>
    <dxf>
      <font>
        <strike val="0"/>
        <outline val="0"/>
        <shadow val="0"/>
        <vertAlign val="baseline"/>
        <sz val="12"/>
        <name val="Times New Roman"/>
        <family val="1"/>
        <scheme val="none"/>
      </font>
      <numFmt numFmtId="0" formatCode="General"/>
    </dxf>
    <dxf>
      <font>
        <strike val="0"/>
        <outline val="0"/>
        <shadow val="0"/>
        <vertAlign val="baseline"/>
        <sz val="12"/>
        <name val="Times New Roman"/>
        <family val="1"/>
        <scheme val="none"/>
      </font>
    </dxf>
    <dxf>
      <font>
        <strike val="0"/>
        <outline val="0"/>
        <shadow val="0"/>
        <vertAlign val="baseline"/>
        <sz val="12"/>
        <name val="Times New Roman"/>
        <family val="1"/>
        <scheme val="none"/>
      </font>
      <numFmt numFmtId="0" formatCode="General"/>
    </dxf>
    <dxf>
      <font>
        <b val="0"/>
        <i val="0"/>
        <strike val="0"/>
        <outline val="0"/>
        <shadow val="0"/>
        <u/>
        <vertAlign val="baseline"/>
        <sz val="10"/>
        <color rgb="FF0070C0"/>
        <name val="Times New Roman"/>
        <family val="1"/>
        <scheme val="none"/>
      </font>
      <numFmt numFmtId="0" formatCode="General"/>
    </dxf>
    <dxf>
      <font>
        <strike val="0"/>
        <outline val="0"/>
        <shadow val="0"/>
        <vertAlign val="baseline"/>
        <sz val="12"/>
        <name val="Times New Roman"/>
        <family val="1"/>
        <scheme val="none"/>
      </font>
      <numFmt numFmtId="0" formatCode="General"/>
    </dxf>
    <dxf>
      <font>
        <strike val="0"/>
        <outline val="0"/>
        <shadow val="0"/>
        <vertAlign val="baseline"/>
        <sz val="12"/>
        <name val="Times New Roman"/>
        <family val="1"/>
        <scheme val="none"/>
      </font>
      <numFmt numFmtId="0" formatCode="General"/>
    </dxf>
    <dxf>
      <font>
        <strike val="0"/>
        <outline val="0"/>
        <shadow val="0"/>
        <vertAlign val="baseline"/>
        <sz val="12"/>
        <name val="Times New Roman"/>
        <family val="1"/>
        <scheme val="none"/>
      </font>
    </dxf>
    <dxf>
      <font>
        <strike val="0"/>
        <outline val="0"/>
        <shadow val="0"/>
        <vertAlign val="baseline"/>
        <sz val="12"/>
        <name val="Times New Roman"/>
        <family val="1"/>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nl-NL" sz="2000" b="1">
                <a:latin typeface="Times New Roman" panose="02020603050405020304" pitchFamily="18" charset="0"/>
                <a:cs typeface="Times New Roman" panose="02020603050405020304" pitchFamily="18" charset="0"/>
              </a:rPr>
              <a:t>Scatter</a:t>
            </a:r>
            <a:r>
              <a:rPr lang="nl-NL" sz="2000" b="1" baseline="0">
                <a:latin typeface="Times New Roman" panose="02020603050405020304" pitchFamily="18" charset="0"/>
                <a:cs typeface="Times New Roman" panose="02020603050405020304" pitchFamily="18" charset="0"/>
              </a:rPr>
              <a:t> plot of Rubric Score vs Hits/Time</a:t>
            </a:r>
          </a:p>
        </c:rich>
      </c:tx>
      <c:layout>
        <c:manualLayout>
          <c:xMode val="edge"/>
          <c:yMode val="edge"/>
          <c:x val="0.28671156914209256"/>
          <c:y val="1.7699115044247787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NL"/>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dLbls>
            <c:dLbl>
              <c:idx val="0"/>
              <c:tx>
                <c:rich>
                  <a:bodyPr/>
                  <a:lstStyle/>
                  <a:p>
                    <a:fld id="{980FEB72-6988-446F-8426-47DD83D3D636}" type="CELLRANGE">
                      <a:rPr lang="en-US"/>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F0-46C2-8806-ACF37CCE0489}"/>
                </c:ext>
              </c:extLst>
            </c:dLbl>
            <c:dLbl>
              <c:idx val="1"/>
              <c:tx>
                <c:rich>
                  <a:bodyPr/>
                  <a:lstStyle/>
                  <a:p>
                    <a:fld id="{61107D0B-C4CC-4011-BC53-9F90A6248963}"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90F0-46C2-8806-ACF37CCE0489}"/>
                </c:ext>
              </c:extLst>
            </c:dLbl>
            <c:dLbl>
              <c:idx val="2"/>
              <c:tx>
                <c:rich>
                  <a:bodyPr/>
                  <a:lstStyle/>
                  <a:p>
                    <a:fld id="{DA5201A5-BDE9-45D3-981A-3984C63A3A68}"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90F0-46C2-8806-ACF37CCE0489}"/>
                </c:ext>
              </c:extLst>
            </c:dLbl>
            <c:dLbl>
              <c:idx val="3"/>
              <c:tx>
                <c:rich>
                  <a:bodyPr/>
                  <a:lstStyle/>
                  <a:p>
                    <a:fld id="{EF6214C4-AF90-4593-A40F-56C2762A085B}"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90F0-46C2-8806-ACF37CCE0489}"/>
                </c:ext>
              </c:extLst>
            </c:dLbl>
            <c:dLbl>
              <c:idx val="4"/>
              <c:tx>
                <c:rich>
                  <a:bodyPr/>
                  <a:lstStyle/>
                  <a:p>
                    <a:fld id="{D462C3D9-2BD8-41D3-809B-81C64B316E75}"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90F0-46C2-8806-ACF37CCE0489}"/>
                </c:ext>
              </c:extLst>
            </c:dLbl>
            <c:dLbl>
              <c:idx val="5"/>
              <c:tx>
                <c:rich>
                  <a:bodyPr/>
                  <a:lstStyle/>
                  <a:p>
                    <a:fld id="{5CE3AEC1-9C15-4049-934E-33AB21D2FC42}"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90F0-46C2-8806-ACF37CCE0489}"/>
                </c:ext>
              </c:extLst>
            </c:dLbl>
            <c:dLbl>
              <c:idx val="6"/>
              <c:tx>
                <c:rich>
                  <a:bodyPr/>
                  <a:lstStyle/>
                  <a:p>
                    <a:fld id="{92E6D0D3-7130-4B3C-8FC9-457E57A95312}"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90F0-46C2-8806-ACF37CCE0489}"/>
                </c:ext>
              </c:extLst>
            </c:dLbl>
            <c:dLbl>
              <c:idx val="7"/>
              <c:tx>
                <c:rich>
                  <a:bodyPr/>
                  <a:lstStyle/>
                  <a:p>
                    <a:fld id="{47379395-4EE3-48F0-8105-A9DF860AA042}"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90F0-46C2-8806-ACF37CCE0489}"/>
                </c:ext>
              </c:extLst>
            </c:dLbl>
            <c:dLbl>
              <c:idx val="8"/>
              <c:tx>
                <c:rich>
                  <a:bodyPr/>
                  <a:lstStyle/>
                  <a:p>
                    <a:fld id="{71DA0FF6-561A-404E-B548-670B94F4D0B2}"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90F0-46C2-8806-ACF37CCE0489}"/>
                </c:ext>
              </c:extLst>
            </c:dLbl>
            <c:dLbl>
              <c:idx val="9"/>
              <c:tx>
                <c:rich>
                  <a:bodyPr/>
                  <a:lstStyle/>
                  <a:p>
                    <a:fld id="{654583E4-C422-48E7-AE43-5521983BF645}"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90F0-46C2-8806-ACF37CCE0489}"/>
                </c:ext>
              </c:extLst>
            </c:dLbl>
            <c:dLbl>
              <c:idx val="10"/>
              <c:tx>
                <c:rich>
                  <a:bodyPr/>
                  <a:lstStyle/>
                  <a:p>
                    <a:fld id="{8F5D18E5-BE17-4F25-B509-1C684708063A}"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90F0-46C2-8806-ACF37CCE0489}"/>
                </c:ext>
              </c:extLst>
            </c:dLbl>
            <c:dLbl>
              <c:idx val="11"/>
              <c:tx>
                <c:rich>
                  <a:bodyPr/>
                  <a:lstStyle/>
                  <a:p>
                    <a:fld id="{41A757C2-7DDF-48FB-B205-126A94EDE66C}"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90F0-46C2-8806-ACF37CCE0489}"/>
                </c:ext>
              </c:extLst>
            </c:dLbl>
            <c:dLbl>
              <c:idx val="12"/>
              <c:tx>
                <c:rich>
                  <a:bodyPr/>
                  <a:lstStyle/>
                  <a:p>
                    <a:fld id="{26F7E075-30DF-4BDC-A2F9-24B98213D76F}"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90F0-46C2-8806-ACF37CCE0489}"/>
                </c:ext>
              </c:extLst>
            </c:dLbl>
            <c:dLbl>
              <c:idx val="13"/>
              <c:tx>
                <c:rich>
                  <a:bodyPr/>
                  <a:lstStyle/>
                  <a:p>
                    <a:fld id="{12288491-06EC-4131-BFC1-BBA6FB6A7056}"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90F0-46C2-8806-ACF37CCE0489}"/>
                </c:ext>
              </c:extLst>
            </c:dLbl>
            <c:dLbl>
              <c:idx val="14"/>
              <c:tx>
                <c:rich>
                  <a:bodyPr/>
                  <a:lstStyle/>
                  <a:p>
                    <a:fld id="{A280C6A9-72F5-4B9E-8595-1EB87AE3082D}"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90F0-46C2-8806-ACF37CCE0489}"/>
                </c:ext>
              </c:extLst>
            </c:dLbl>
            <c:dLbl>
              <c:idx val="15"/>
              <c:tx>
                <c:rich>
                  <a:bodyPr/>
                  <a:lstStyle/>
                  <a:p>
                    <a:fld id="{A4C75FBD-8846-4924-A1A1-8C1E723CFC41}"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90F0-46C2-8806-ACF37CCE0489}"/>
                </c:ext>
              </c:extLst>
            </c:dLbl>
            <c:dLbl>
              <c:idx val="16"/>
              <c:tx>
                <c:rich>
                  <a:bodyPr/>
                  <a:lstStyle/>
                  <a:p>
                    <a:fld id="{4321DA4B-5898-490A-BC85-FB82157FCBD2}"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90F0-46C2-8806-ACF37CCE0489}"/>
                </c:ext>
              </c:extLst>
            </c:dLbl>
            <c:dLbl>
              <c:idx val="17"/>
              <c:tx>
                <c:rich>
                  <a:bodyPr/>
                  <a:lstStyle/>
                  <a:p>
                    <a:fld id="{03B07E0E-C410-438D-BACC-8BD48C639C4A}"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90F0-46C2-8806-ACF37CCE0489}"/>
                </c:ext>
              </c:extLst>
            </c:dLbl>
            <c:dLbl>
              <c:idx val="18"/>
              <c:tx>
                <c:rich>
                  <a:bodyPr/>
                  <a:lstStyle/>
                  <a:p>
                    <a:fld id="{8A806695-BC75-4F88-AD47-5DD673E3B381}"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90F0-46C2-8806-ACF37CCE0489}"/>
                </c:ext>
              </c:extLst>
            </c:dLbl>
            <c:dLbl>
              <c:idx val="19"/>
              <c:tx>
                <c:rich>
                  <a:bodyPr/>
                  <a:lstStyle/>
                  <a:p>
                    <a:fld id="{6591C31C-6C4E-4B81-A7C3-D9C75AAFF14D}"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90F0-46C2-8806-ACF37CCE0489}"/>
                </c:ext>
              </c:extLst>
            </c:dLbl>
            <c:dLbl>
              <c:idx val="20"/>
              <c:tx>
                <c:rich>
                  <a:bodyPr/>
                  <a:lstStyle/>
                  <a:p>
                    <a:fld id="{AB84F06B-6A43-4F3C-B590-092F54E8FE55}"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90F0-46C2-8806-ACF37CCE0489}"/>
                </c:ext>
              </c:extLst>
            </c:dLbl>
            <c:dLbl>
              <c:idx val="21"/>
              <c:tx>
                <c:rich>
                  <a:bodyPr/>
                  <a:lstStyle/>
                  <a:p>
                    <a:fld id="{0362D530-39CF-4325-954F-ABB3C4801063}"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90F0-46C2-8806-ACF37CCE0489}"/>
                </c:ext>
              </c:extLst>
            </c:dLbl>
            <c:dLbl>
              <c:idx val="22"/>
              <c:tx>
                <c:rich>
                  <a:bodyPr/>
                  <a:lstStyle/>
                  <a:p>
                    <a:fld id="{FC21454A-B695-4A11-A1D4-250B484394D9}"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90F0-46C2-8806-ACF37CCE0489}"/>
                </c:ext>
              </c:extLst>
            </c:dLbl>
            <c:dLbl>
              <c:idx val="23"/>
              <c:tx>
                <c:rich>
                  <a:bodyPr/>
                  <a:lstStyle/>
                  <a:p>
                    <a:fld id="{F9AE2092-5A8A-4574-ABEC-061C89FB09F4}"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90F0-46C2-8806-ACF37CCE0489}"/>
                </c:ext>
              </c:extLst>
            </c:dLbl>
            <c:dLbl>
              <c:idx val="24"/>
              <c:tx>
                <c:rich>
                  <a:bodyPr/>
                  <a:lstStyle/>
                  <a:p>
                    <a:fld id="{F73ACD66-A6E6-493E-8E0B-8A06C7BF0F15}"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90F0-46C2-8806-ACF37CCE0489}"/>
                </c:ext>
              </c:extLst>
            </c:dLbl>
            <c:dLbl>
              <c:idx val="25"/>
              <c:tx>
                <c:rich>
                  <a:bodyPr/>
                  <a:lstStyle/>
                  <a:p>
                    <a:fld id="{08BE5E9D-E23C-4BBF-B85A-A6FF41D6AF24}"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90F0-46C2-8806-ACF37CCE0489}"/>
                </c:ext>
              </c:extLst>
            </c:dLbl>
            <c:dLbl>
              <c:idx val="26"/>
              <c:tx>
                <c:rich>
                  <a:bodyPr/>
                  <a:lstStyle/>
                  <a:p>
                    <a:fld id="{213C6053-C725-4B26-9B6D-3CC8E3ADAC54}"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90F0-46C2-8806-ACF37CCE0489}"/>
                </c:ext>
              </c:extLst>
            </c:dLbl>
            <c:dLbl>
              <c:idx val="27"/>
              <c:tx>
                <c:rich>
                  <a:bodyPr/>
                  <a:lstStyle/>
                  <a:p>
                    <a:fld id="{675EF67B-510E-4AF6-9937-73B0DF5827AE}"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5B8-4EF4-BC4D-38EB4A32218C}"/>
                </c:ext>
              </c:extLst>
            </c:dLbl>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NL"/>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trendline>
            <c:spPr>
              <a:ln w="31750" cap="rnd">
                <a:solidFill>
                  <a:srgbClr val="FF0000"/>
                </a:solidFill>
                <a:prstDash val="dash"/>
              </a:ln>
              <a:effectLst/>
            </c:spPr>
            <c:trendlineType val="linear"/>
            <c:dispRSqr val="0"/>
            <c:dispEq val="0"/>
          </c:trendline>
          <c:xVal>
            <c:numRef>
              <c:f>'Hits Correlation'!$C$2:$C$29</c:f>
              <c:numCache>
                <c:formatCode>General</c:formatCode>
                <c:ptCount val="28"/>
                <c:pt idx="0">
                  <c:v>71.3</c:v>
                </c:pt>
                <c:pt idx="1">
                  <c:v>67.8</c:v>
                </c:pt>
                <c:pt idx="2">
                  <c:v>65.599999999999994</c:v>
                </c:pt>
                <c:pt idx="3">
                  <c:v>87.9</c:v>
                </c:pt>
                <c:pt idx="4">
                  <c:v>84.2</c:v>
                </c:pt>
                <c:pt idx="5">
                  <c:v>62.4</c:v>
                </c:pt>
                <c:pt idx="6">
                  <c:v>77.8</c:v>
                </c:pt>
                <c:pt idx="7">
                  <c:v>82.5</c:v>
                </c:pt>
                <c:pt idx="8">
                  <c:v>73.2</c:v>
                </c:pt>
                <c:pt idx="9">
                  <c:v>75.400000000000006</c:v>
                </c:pt>
                <c:pt idx="10">
                  <c:v>71.5</c:v>
                </c:pt>
                <c:pt idx="11">
                  <c:v>60.6</c:v>
                </c:pt>
                <c:pt idx="12">
                  <c:v>45.4</c:v>
                </c:pt>
                <c:pt idx="13">
                  <c:v>64.400000000000006</c:v>
                </c:pt>
                <c:pt idx="14">
                  <c:v>65.400000000000006</c:v>
                </c:pt>
                <c:pt idx="15">
                  <c:v>56</c:v>
                </c:pt>
                <c:pt idx="16">
                  <c:v>52.3</c:v>
                </c:pt>
                <c:pt idx="17">
                  <c:v>42.3</c:v>
                </c:pt>
                <c:pt idx="18">
                  <c:v>48.8</c:v>
                </c:pt>
                <c:pt idx="19">
                  <c:v>73.5</c:v>
                </c:pt>
                <c:pt idx="20">
                  <c:v>64.099999999999994</c:v>
                </c:pt>
                <c:pt idx="21">
                  <c:v>73.8</c:v>
                </c:pt>
                <c:pt idx="22">
                  <c:v>68.8</c:v>
                </c:pt>
                <c:pt idx="23">
                  <c:v>72.599999999999994</c:v>
                </c:pt>
                <c:pt idx="24">
                  <c:v>49.9</c:v>
                </c:pt>
                <c:pt idx="25">
                  <c:v>45.5</c:v>
                </c:pt>
                <c:pt idx="26">
                  <c:v>70.5</c:v>
                </c:pt>
                <c:pt idx="27">
                  <c:v>59.6</c:v>
                </c:pt>
              </c:numCache>
            </c:numRef>
          </c:xVal>
          <c:yVal>
            <c:numRef>
              <c:f>'Hits Correlation'!$G$2:$G$29</c:f>
              <c:numCache>
                <c:formatCode>General</c:formatCode>
                <c:ptCount val="28"/>
                <c:pt idx="0">
                  <c:v>54</c:v>
                </c:pt>
                <c:pt idx="1">
                  <c:v>54.207999999999998</c:v>
                </c:pt>
                <c:pt idx="2">
                  <c:v>51.216000000000001</c:v>
                </c:pt>
                <c:pt idx="3">
                  <c:v>43.068000000000005</c:v>
                </c:pt>
                <c:pt idx="4">
                  <c:v>53.5</c:v>
                </c:pt>
                <c:pt idx="5">
                  <c:v>50.8</c:v>
                </c:pt>
                <c:pt idx="6">
                  <c:v>26.39</c:v>
                </c:pt>
                <c:pt idx="7">
                  <c:v>37.9</c:v>
                </c:pt>
                <c:pt idx="8">
                  <c:v>33.367999999999995</c:v>
                </c:pt>
                <c:pt idx="9">
                  <c:v>33.5</c:v>
                </c:pt>
                <c:pt idx="10">
                  <c:v>27.917999999999999</c:v>
                </c:pt>
                <c:pt idx="11">
                  <c:v>27.422999999999998</c:v>
                </c:pt>
                <c:pt idx="12">
                  <c:v>25.7</c:v>
                </c:pt>
                <c:pt idx="13">
                  <c:v>25</c:v>
                </c:pt>
                <c:pt idx="14">
                  <c:v>21.808</c:v>
                </c:pt>
                <c:pt idx="15">
                  <c:v>17.225999999999999</c:v>
                </c:pt>
                <c:pt idx="16">
                  <c:v>11.778</c:v>
                </c:pt>
                <c:pt idx="17">
                  <c:v>12</c:v>
                </c:pt>
                <c:pt idx="18">
                  <c:v>11.3</c:v>
                </c:pt>
                <c:pt idx="19">
                  <c:v>9.9</c:v>
                </c:pt>
                <c:pt idx="20">
                  <c:v>5.28</c:v>
                </c:pt>
                <c:pt idx="21">
                  <c:v>7.35</c:v>
                </c:pt>
                <c:pt idx="22">
                  <c:v>6.2</c:v>
                </c:pt>
                <c:pt idx="23">
                  <c:v>5.4450000000000003</c:v>
                </c:pt>
                <c:pt idx="24">
                  <c:v>4.4879999999999995</c:v>
                </c:pt>
                <c:pt idx="25">
                  <c:v>4.2</c:v>
                </c:pt>
                <c:pt idx="26">
                  <c:v>3.1680000000000001</c:v>
                </c:pt>
                <c:pt idx="27">
                  <c:v>0.8</c:v>
                </c:pt>
              </c:numCache>
            </c:numRef>
          </c:yVal>
          <c:smooth val="0"/>
          <c:extLst>
            <c:ext xmlns:c15="http://schemas.microsoft.com/office/drawing/2012/chart" uri="{02D57815-91ED-43cb-92C2-25804820EDAC}">
              <c15:datalabelsRange>
                <c15:f>'Hits Correlation'!$A$2:$A$29</c15:f>
                <c15:dlblRangeCache>
                  <c:ptCount val="28"/>
                  <c:pt idx="0">
                    <c:v>doe</c:v>
                  </c:pt>
                  <c:pt idx="1">
                    <c:v>There'll Never Be Enough of Us</c:v>
                  </c:pt>
                  <c:pt idx="2">
                    <c:v>Letter of Survival</c:v>
                  </c:pt>
                  <c:pt idx="3">
                    <c:v>Alignment</c:v>
                  </c:pt>
                  <c:pt idx="4">
                    <c:v>Debts of Honor</c:v>
                  </c:pt>
                  <c:pt idx="5">
                    <c:v>Looks Can Be Deceiving</c:v>
                  </c:pt>
                  <c:pt idx="6">
                    <c:v>No more Trio</c:v>
                  </c:pt>
                  <c:pt idx="7">
                    <c:v>Air</c:v>
                  </c:pt>
                  <c:pt idx="8">
                    <c:v>Until Tomorrow</c:v>
                  </c:pt>
                  <c:pt idx="9">
                    <c:v>Hunting Shadows</c:v>
                  </c:pt>
                  <c:pt idx="10">
                    <c:v>Hermione Granger and the silent country</c:v>
                  </c:pt>
                  <c:pt idx="11">
                    <c:v>Finding their way back to love</c:v>
                  </c:pt>
                  <c:pt idx="12">
                    <c:v>Shield and Star</c:v>
                  </c:pt>
                  <c:pt idx="13">
                    <c:v>Runes and Rituals</c:v>
                  </c:pt>
                  <c:pt idx="14">
                    <c:v>To the You of 1994</c:v>
                  </c:pt>
                  <c:pt idx="15">
                    <c:v>Metanoia</c:v>
                  </c:pt>
                  <c:pt idx="16">
                    <c:v>But Daddy I Love Him</c:v>
                  </c:pt>
                  <c:pt idx="17">
                    <c:v>Love Me Like You Do</c:v>
                  </c:pt>
                  <c:pt idx="18">
                    <c:v>Learning To Dance</c:v>
                  </c:pt>
                  <c:pt idx="19">
                    <c:v>A Year Abroad</c:v>
                  </c:pt>
                  <c:pt idx="20">
                    <c:v>Alignment – Through the Arch</c:v>
                  </c:pt>
                  <c:pt idx="21">
                    <c:v>The Observer Effect</c:v>
                  </c:pt>
                  <c:pt idx="22">
                    <c:v>The Flower Shop</c:v>
                  </c:pt>
                  <c:pt idx="23">
                    <c:v>Light to fight the shadows</c:v>
                  </c:pt>
                  <c:pt idx="24">
                    <c:v>My Love Mine All Mine</c:v>
                  </c:pt>
                  <c:pt idx="25">
                    <c:v>This Ship has Sailed</c:v>
                  </c:pt>
                  <c:pt idx="26">
                    <c:v>To Feel To Fall</c:v>
                  </c:pt>
                  <c:pt idx="27">
                    <c:v>A Life in Letters</c:v>
                  </c:pt>
                </c15:dlblRangeCache>
              </c15:datalabelsRange>
            </c:ext>
            <c:ext xmlns:c16="http://schemas.microsoft.com/office/drawing/2014/chart" uri="{C3380CC4-5D6E-409C-BE32-E72D297353CC}">
              <c16:uniqueId val="{00000000-7D60-46E0-99E7-4C958884B2F3}"/>
            </c:ext>
          </c:extLst>
        </c:ser>
        <c:dLbls>
          <c:dLblPos val="t"/>
          <c:showLegendKey val="0"/>
          <c:showVal val="1"/>
          <c:showCatName val="0"/>
          <c:showSerName val="0"/>
          <c:showPercent val="0"/>
          <c:showBubbleSize val="0"/>
        </c:dLbls>
        <c:axId val="651074288"/>
        <c:axId val="801507776"/>
      </c:scatterChart>
      <c:valAx>
        <c:axId val="6510742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nl-NL" sz="2000" b="1">
                    <a:latin typeface="Times New Roman" panose="02020603050405020304" pitchFamily="18" charset="0"/>
                    <a:cs typeface="Times New Roman" panose="02020603050405020304" pitchFamily="18" charset="0"/>
                  </a:rPr>
                  <a:t>Rubric Score</a:t>
                </a:r>
                <a:r>
                  <a:rPr lang="nl-NL" sz="2000" b="1" baseline="0">
                    <a:latin typeface="Times New Roman" panose="02020603050405020304" pitchFamily="18" charset="0"/>
                    <a:cs typeface="Times New Roman" panose="02020603050405020304" pitchFamily="18" charset="0"/>
                  </a:rPr>
                  <a:t> (%)</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NL"/>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801507776"/>
        <c:crosses val="autoZero"/>
        <c:crossBetween val="midCat"/>
      </c:valAx>
      <c:valAx>
        <c:axId val="8015077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nl-NL" sz="2000" b="1">
                    <a:latin typeface="Times New Roman" panose="02020603050405020304" pitchFamily="18" charset="0"/>
                    <a:cs typeface="Times New Roman" panose="02020603050405020304" pitchFamily="18" charset="0"/>
                  </a:rPr>
                  <a:t>Popularity</a:t>
                </a:r>
                <a:r>
                  <a:rPr lang="nl-NL" sz="2000" b="1" baseline="0">
                    <a:latin typeface="Times New Roman" panose="02020603050405020304" pitchFamily="18" charset="0"/>
                    <a:cs typeface="Times New Roman" panose="02020603050405020304" pitchFamily="18" charset="0"/>
                  </a:rPr>
                  <a:t> Score (hits/time*lifecycle)</a:t>
                </a:r>
                <a:endParaRPr lang="nl-NL" sz="2000" b="1">
                  <a:latin typeface="Times New Roman" panose="02020603050405020304" pitchFamily="18" charset="0"/>
                  <a:cs typeface="Times New Roman" panose="02020603050405020304" pitchFamily="18" charset="0"/>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L"/>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65107428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sz="2000" b="1">
                <a:latin typeface="Times New Roman" panose="02020603050405020304" pitchFamily="18" charset="0"/>
                <a:cs typeface="Times New Roman" panose="02020603050405020304" pitchFamily="18" charset="0"/>
              </a:rPr>
              <a:t>Reduction Factor</a:t>
            </a:r>
            <a:r>
              <a:rPr lang="nl-NL" sz="2000" b="1" baseline="0">
                <a:latin typeface="Times New Roman" panose="02020603050405020304" pitchFamily="18" charset="0"/>
                <a:cs typeface="Times New Roman" panose="02020603050405020304" pitchFamily="18" charset="0"/>
              </a:rPr>
              <a:t> of different works</a:t>
            </a:r>
            <a:endParaRPr lang="nl-NL" b="1">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dLbls>
            <c:dLbl>
              <c:idx val="0"/>
              <c:tx>
                <c:rich>
                  <a:bodyPr/>
                  <a:lstStyle/>
                  <a:p>
                    <a:fld id="{3EE11D32-DB0B-4A2F-8F8C-FD4A3553251E}" type="CELLRANGE">
                      <a:rPr lang="en-US"/>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2CD-4BA3-AE4E-51A8D9203BC5}"/>
                </c:ext>
              </c:extLst>
            </c:dLbl>
            <c:dLbl>
              <c:idx val="1"/>
              <c:tx>
                <c:rich>
                  <a:bodyPr/>
                  <a:lstStyle/>
                  <a:p>
                    <a:fld id="{B94EED9B-0632-4328-BE28-C390C218E195}"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32CD-4BA3-AE4E-51A8D9203BC5}"/>
                </c:ext>
              </c:extLst>
            </c:dLbl>
            <c:dLbl>
              <c:idx val="2"/>
              <c:tx>
                <c:rich>
                  <a:bodyPr/>
                  <a:lstStyle/>
                  <a:p>
                    <a:fld id="{18C03350-8321-4713-A052-94C6BAE5E8CE}"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32CD-4BA3-AE4E-51A8D9203BC5}"/>
                </c:ext>
              </c:extLst>
            </c:dLbl>
            <c:dLbl>
              <c:idx val="3"/>
              <c:tx>
                <c:rich>
                  <a:bodyPr/>
                  <a:lstStyle/>
                  <a:p>
                    <a:fld id="{C7A86288-D99C-4C2F-BCC7-0478EF8A053A}"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32CD-4BA3-AE4E-51A8D9203BC5}"/>
                </c:ext>
              </c:extLst>
            </c:dLbl>
            <c:dLbl>
              <c:idx val="4"/>
              <c:tx>
                <c:rich>
                  <a:bodyPr/>
                  <a:lstStyle/>
                  <a:p>
                    <a:fld id="{D998ED8D-55CA-4791-BDC5-DDFCA2D916C3}"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32CD-4BA3-AE4E-51A8D9203BC5}"/>
                </c:ext>
              </c:extLst>
            </c:dLbl>
            <c:dLbl>
              <c:idx val="5"/>
              <c:tx>
                <c:rich>
                  <a:bodyPr/>
                  <a:lstStyle/>
                  <a:p>
                    <a:fld id="{A116BBCC-1D91-485C-9EBA-229B7DEC96B3}"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32CD-4BA3-AE4E-51A8D9203BC5}"/>
                </c:ext>
              </c:extLst>
            </c:dLbl>
            <c:dLbl>
              <c:idx val="6"/>
              <c:tx>
                <c:rich>
                  <a:bodyPr/>
                  <a:lstStyle/>
                  <a:p>
                    <a:fld id="{D60415BF-A89E-4505-B337-8F2C30E1964D}"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32CD-4BA3-AE4E-51A8D9203BC5}"/>
                </c:ext>
              </c:extLst>
            </c:dLbl>
            <c:dLbl>
              <c:idx val="7"/>
              <c:tx>
                <c:rich>
                  <a:bodyPr/>
                  <a:lstStyle/>
                  <a:p>
                    <a:fld id="{191ACC92-AECD-4DB0-9C41-DA4FC09724FE}"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32CD-4BA3-AE4E-51A8D9203BC5}"/>
                </c:ext>
              </c:extLst>
            </c:dLbl>
            <c:dLbl>
              <c:idx val="8"/>
              <c:tx>
                <c:rich>
                  <a:bodyPr/>
                  <a:lstStyle/>
                  <a:p>
                    <a:fld id="{3F2A0B22-69DF-4585-80F8-2D7A1A6C3349}"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32CD-4BA3-AE4E-51A8D9203BC5}"/>
                </c:ext>
              </c:extLst>
            </c:dLbl>
            <c:dLbl>
              <c:idx val="9"/>
              <c:tx>
                <c:rich>
                  <a:bodyPr/>
                  <a:lstStyle/>
                  <a:p>
                    <a:fld id="{A97F98E7-EE04-416B-9EA3-1DF3F618BCD8}"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32CD-4BA3-AE4E-51A8D9203BC5}"/>
                </c:ext>
              </c:extLst>
            </c:dLbl>
            <c:dLbl>
              <c:idx val="10"/>
              <c:tx>
                <c:rich>
                  <a:bodyPr/>
                  <a:lstStyle/>
                  <a:p>
                    <a:fld id="{23C1F520-D23D-41E3-84D3-172D73E80A70}"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32CD-4BA3-AE4E-51A8D9203BC5}"/>
                </c:ext>
              </c:extLst>
            </c:dLbl>
            <c:dLbl>
              <c:idx val="11"/>
              <c:tx>
                <c:rich>
                  <a:bodyPr/>
                  <a:lstStyle/>
                  <a:p>
                    <a:fld id="{42B20974-9FAF-4F24-B79B-78E433000808}"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32CD-4BA3-AE4E-51A8D9203BC5}"/>
                </c:ext>
              </c:extLst>
            </c:dLbl>
            <c:dLbl>
              <c:idx val="12"/>
              <c:tx>
                <c:rich>
                  <a:bodyPr/>
                  <a:lstStyle/>
                  <a:p>
                    <a:fld id="{4053CE9E-02FC-4F23-9ECF-DCF6694C42C4}"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32CD-4BA3-AE4E-51A8D9203BC5}"/>
                </c:ext>
              </c:extLst>
            </c:dLbl>
            <c:dLbl>
              <c:idx val="13"/>
              <c:tx>
                <c:rich>
                  <a:bodyPr/>
                  <a:lstStyle/>
                  <a:p>
                    <a:fld id="{24EDC314-7FE8-494F-A000-A1F9D9467729}"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32CD-4BA3-AE4E-51A8D9203BC5}"/>
                </c:ext>
              </c:extLst>
            </c:dLbl>
            <c:dLbl>
              <c:idx val="14"/>
              <c:tx>
                <c:rich>
                  <a:bodyPr/>
                  <a:lstStyle/>
                  <a:p>
                    <a:fld id="{7CC5C8AD-183B-4D94-8104-4CC947088FF4}"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32CD-4BA3-AE4E-51A8D9203BC5}"/>
                </c:ext>
              </c:extLst>
            </c:dLbl>
            <c:dLbl>
              <c:idx val="15"/>
              <c:tx>
                <c:rich>
                  <a:bodyPr/>
                  <a:lstStyle/>
                  <a:p>
                    <a:fld id="{E66B283F-3BBB-485D-A415-79C67FEED27F}"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32CD-4BA3-AE4E-51A8D9203BC5}"/>
                </c:ext>
              </c:extLst>
            </c:dLbl>
            <c:dLbl>
              <c:idx val="16"/>
              <c:tx>
                <c:rich>
                  <a:bodyPr/>
                  <a:lstStyle/>
                  <a:p>
                    <a:fld id="{BC6F483B-CC3F-4D2E-91F0-F4370570A7E5}"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32CD-4BA3-AE4E-51A8D9203BC5}"/>
                </c:ext>
              </c:extLst>
            </c:dLbl>
            <c:dLbl>
              <c:idx val="17"/>
              <c:tx>
                <c:rich>
                  <a:bodyPr/>
                  <a:lstStyle/>
                  <a:p>
                    <a:fld id="{09545A5C-C871-494F-84C6-3E0561A9EEC7}"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32CD-4BA3-AE4E-51A8D9203BC5}"/>
                </c:ext>
              </c:extLst>
            </c:dLbl>
            <c:dLbl>
              <c:idx val="18"/>
              <c:tx>
                <c:rich>
                  <a:bodyPr/>
                  <a:lstStyle/>
                  <a:p>
                    <a:fld id="{48355AA2-FC44-46AE-934E-9C13AE066B4B}"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32CD-4BA3-AE4E-51A8D9203BC5}"/>
                </c:ext>
              </c:extLst>
            </c:dLbl>
            <c:dLbl>
              <c:idx val="19"/>
              <c:tx>
                <c:rich>
                  <a:bodyPr/>
                  <a:lstStyle/>
                  <a:p>
                    <a:fld id="{BBCB6456-167C-4726-8538-16386D1ED20B}"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32CD-4BA3-AE4E-51A8D9203BC5}"/>
                </c:ext>
              </c:extLst>
            </c:dLbl>
            <c:dLbl>
              <c:idx val="20"/>
              <c:tx>
                <c:rich>
                  <a:bodyPr/>
                  <a:lstStyle/>
                  <a:p>
                    <a:fld id="{56A01A74-EC0A-48FD-B329-3A8C0ED02B87}"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32CD-4BA3-AE4E-51A8D9203BC5}"/>
                </c:ext>
              </c:extLst>
            </c:dLbl>
            <c:dLbl>
              <c:idx val="21"/>
              <c:tx>
                <c:rich>
                  <a:bodyPr/>
                  <a:lstStyle/>
                  <a:p>
                    <a:fld id="{3C9ABE99-38AE-4777-AD46-9F6C02F23E0B}"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32CD-4BA3-AE4E-51A8D9203BC5}"/>
                </c:ext>
              </c:extLst>
            </c:dLbl>
            <c:dLbl>
              <c:idx val="22"/>
              <c:tx>
                <c:rich>
                  <a:bodyPr/>
                  <a:lstStyle/>
                  <a:p>
                    <a:fld id="{0FDFB8F2-FDF6-49F8-A509-76AE89826EC2}"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32CD-4BA3-AE4E-51A8D9203BC5}"/>
                </c:ext>
              </c:extLst>
            </c:dLbl>
            <c:dLbl>
              <c:idx val="23"/>
              <c:tx>
                <c:rich>
                  <a:bodyPr/>
                  <a:lstStyle/>
                  <a:p>
                    <a:fld id="{8F7D8EEF-4908-45BF-9721-CCE87692B5E9}"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32CD-4BA3-AE4E-51A8D9203BC5}"/>
                </c:ext>
              </c:extLst>
            </c:dLbl>
            <c:dLbl>
              <c:idx val="24"/>
              <c:tx>
                <c:rich>
                  <a:bodyPr/>
                  <a:lstStyle/>
                  <a:p>
                    <a:fld id="{845F3A25-9760-4F82-BE2A-FDA04979CD28}"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32CD-4BA3-AE4E-51A8D9203BC5}"/>
                </c:ext>
              </c:extLst>
            </c:dLbl>
            <c:dLbl>
              <c:idx val="25"/>
              <c:tx>
                <c:rich>
                  <a:bodyPr/>
                  <a:lstStyle/>
                  <a:p>
                    <a:fld id="{335ABAD6-B1F3-4B52-8AEF-C401BD35389A}"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32CD-4BA3-AE4E-51A8D9203BC5}"/>
                </c:ext>
              </c:extLst>
            </c:dLbl>
            <c:dLbl>
              <c:idx val="26"/>
              <c:tx>
                <c:rich>
                  <a:bodyPr/>
                  <a:lstStyle/>
                  <a:p>
                    <a:fld id="{F140316C-5395-44F3-B596-7284C10DA0BD}"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32CD-4BA3-AE4E-51A8D9203BC5}"/>
                </c:ext>
              </c:extLst>
            </c:dLbl>
            <c:dLbl>
              <c:idx val="27"/>
              <c:tx>
                <c:rich>
                  <a:bodyPr/>
                  <a:lstStyle/>
                  <a:p>
                    <a:fld id="{9E921B7A-A390-41CA-80B8-D61FE0BBF58A}" type="CELLRANGE">
                      <a:rPr lang="en-NL"/>
                      <a:pPr/>
                      <a:t>[CELLRANGE]</a:t>
                    </a:fld>
                    <a:endParaRPr lang="en-N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32CD-4BA3-AE4E-51A8D9203BC5}"/>
                </c:ext>
              </c:extLst>
            </c:dLbl>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NL"/>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'Hits Correlation'!$C$2:$C$29</c:f>
              <c:numCache>
                <c:formatCode>General</c:formatCode>
                <c:ptCount val="28"/>
                <c:pt idx="0">
                  <c:v>71.3</c:v>
                </c:pt>
                <c:pt idx="1">
                  <c:v>67.8</c:v>
                </c:pt>
                <c:pt idx="2">
                  <c:v>65.599999999999994</c:v>
                </c:pt>
                <c:pt idx="3">
                  <c:v>87.9</c:v>
                </c:pt>
                <c:pt idx="4">
                  <c:v>84.2</c:v>
                </c:pt>
                <c:pt idx="5">
                  <c:v>62.4</c:v>
                </c:pt>
                <c:pt idx="6">
                  <c:v>77.8</c:v>
                </c:pt>
                <c:pt idx="7">
                  <c:v>82.5</c:v>
                </c:pt>
                <c:pt idx="8">
                  <c:v>73.2</c:v>
                </c:pt>
                <c:pt idx="9">
                  <c:v>75.400000000000006</c:v>
                </c:pt>
                <c:pt idx="10">
                  <c:v>71.5</c:v>
                </c:pt>
                <c:pt idx="11">
                  <c:v>60.6</c:v>
                </c:pt>
                <c:pt idx="12">
                  <c:v>45.4</c:v>
                </c:pt>
                <c:pt idx="13">
                  <c:v>64.400000000000006</c:v>
                </c:pt>
                <c:pt idx="14">
                  <c:v>65.400000000000006</c:v>
                </c:pt>
                <c:pt idx="15">
                  <c:v>56</c:v>
                </c:pt>
                <c:pt idx="16">
                  <c:v>52.3</c:v>
                </c:pt>
                <c:pt idx="17">
                  <c:v>42.3</c:v>
                </c:pt>
                <c:pt idx="18">
                  <c:v>48.8</c:v>
                </c:pt>
                <c:pt idx="19">
                  <c:v>73.5</c:v>
                </c:pt>
                <c:pt idx="20">
                  <c:v>64.099999999999994</c:v>
                </c:pt>
                <c:pt idx="21">
                  <c:v>73.8</c:v>
                </c:pt>
                <c:pt idx="22">
                  <c:v>68.8</c:v>
                </c:pt>
                <c:pt idx="23">
                  <c:v>72.599999999999994</c:v>
                </c:pt>
                <c:pt idx="24">
                  <c:v>49.9</c:v>
                </c:pt>
                <c:pt idx="25">
                  <c:v>45.5</c:v>
                </c:pt>
                <c:pt idx="26">
                  <c:v>70.5</c:v>
                </c:pt>
                <c:pt idx="27">
                  <c:v>59.6</c:v>
                </c:pt>
              </c:numCache>
            </c:numRef>
          </c:xVal>
          <c:yVal>
            <c:numRef>
              <c:f>'Hits Correlation'!$N$2:$N$29</c:f>
              <c:numCache>
                <c:formatCode>General</c:formatCode>
                <c:ptCount val="28"/>
                <c:pt idx="0">
                  <c:v>0.4</c:v>
                </c:pt>
                <c:pt idx="1">
                  <c:v>0.88</c:v>
                </c:pt>
                <c:pt idx="2">
                  <c:v>0.88</c:v>
                </c:pt>
                <c:pt idx="3">
                  <c:v>0.7400000000000001</c:v>
                </c:pt>
                <c:pt idx="4">
                  <c:v>1</c:v>
                </c:pt>
                <c:pt idx="5">
                  <c:v>1</c:v>
                </c:pt>
                <c:pt idx="6">
                  <c:v>0.65</c:v>
                </c:pt>
                <c:pt idx="7">
                  <c:v>1</c:v>
                </c:pt>
                <c:pt idx="8">
                  <c:v>0.96999999999999986</c:v>
                </c:pt>
                <c:pt idx="9">
                  <c:v>1</c:v>
                </c:pt>
                <c:pt idx="10">
                  <c:v>0.99</c:v>
                </c:pt>
                <c:pt idx="11">
                  <c:v>0.99</c:v>
                </c:pt>
                <c:pt idx="12">
                  <c:v>1</c:v>
                </c:pt>
                <c:pt idx="13">
                  <c:v>1</c:v>
                </c:pt>
                <c:pt idx="14">
                  <c:v>0.94000000000000006</c:v>
                </c:pt>
                <c:pt idx="15">
                  <c:v>0.99</c:v>
                </c:pt>
                <c:pt idx="16">
                  <c:v>0.78</c:v>
                </c:pt>
                <c:pt idx="17">
                  <c:v>1</c:v>
                </c:pt>
                <c:pt idx="18">
                  <c:v>1</c:v>
                </c:pt>
                <c:pt idx="19">
                  <c:v>1</c:v>
                </c:pt>
                <c:pt idx="20">
                  <c:v>0.55000000000000004</c:v>
                </c:pt>
                <c:pt idx="21">
                  <c:v>0.98</c:v>
                </c:pt>
                <c:pt idx="22">
                  <c:v>1</c:v>
                </c:pt>
                <c:pt idx="23">
                  <c:v>0.9900000000000001</c:v>
                </c:pt>
                <c:pt idx="24">
                  <c:v>0.88</c:v>
                </c:pt>
                <c:pt idx="25">
                  <c:v>1</c:v>
                </c:pt>
                <c:pt idx="26">
                  <c:v>0.99</c:v>
                </c:pt>
                <c:pt idx="27">
                  <c:v>1</c:v>
                </c:pt>
              </c:numCache>
            </c:numRef>
          </c:yVal>
          <c:smooth val="0"/>
          <c:extLst>
            <c:ext xmlns:c15="http://schemas.microsoft.com/office/drawing/2012/chart" uri="{02D57815-91ED-43cb-92C2-25804820EDAC}">
              <c15:datalabelsRange>
                <c15:f>'Hits Correlation'!$A$2:$A$29</c15:f>
                <c15:dlblRangeCache>
                  <c:ptCount val="28"/>
                  <c:pt idx="0">
                    <c:v>doe</c:v>
                  </c:pt>
                  <c:pt idx="1">
                    <c:v>There'll Never Be Enough of Us</c:v>
                  </c:pt>
                  <c:pt idx="2">
                    <c:v>Letter of Survival</c:v>
                  </c:pt>
                  <c:pt idx="3">
                    <c:v>Alignment</c:v>
                  </c:pt>
                  <c:pt idx="4">
                    <c:v>Debts of Honor</c:v>
                  </c:pt>
                  <c:pt idx="5">
                    <c:v>Looks Can Be Deceiving</c:v>
                  </c:pt>
                  <c:pt idx="6">
                    <c:v>No more Trio</c:v>
                  </c:pt>
                  <c:pt idx="7">
                    <c:v>Air</c:v>
                  </c:pt>
                  <c:pt idx="8">
                    <c:v>Until Tomorrow</c:v>
                  </c:pt>
                  <c:pt idx="9">
                    <c:v>Hunting Shadows</c:v>
                  </c:pt>
                  <c:pt idx="10">
                    <c:v>Hermione Granger and the silent country</c:v>
                  </c:pt>
                  <c:pt idx="11">
                    <c:v>Finding their way back to love</c:v>
                  </c:pt>
                  <c:pt idx="12">
                    <c:v>Shield and Star</c:v>
                  </c:pt>
                  <c:pt idx="13">
                    <c:v>Runes and Rituals</c:v>
                  </c:pt>
                  <c:pt idx="14">
                    <c:v>To the You of 1994</c:v>
                  </c:pt>
                  <c:pt idx="15">
                    <c:v>Metanoia</c:v>
                  </c:pt>
                  <c:pt idx="16">
                    <c:v>But Daddy I Love Him</c:v>
                  </c:pt>
                  <c:pt idx="17">
                    <c:v>Love Me Like You Do</c:v>
                  </c:pt>
                  <c:pt idx="18">
                    <c:v>Learning To Dance</c:v>
                  </c:pt>
                  <c:pt idx="19">
                    <c:v>A Year Abroad</c:v>
                  </c:pt>
                  <c:pt idx="20">
                    <c:v>Alignment – Through the Arch</c:v>
                  </c:pt>
                  <c:pt idx="21">
                    <c:v>The Observer Effect</c:v>
                  </c:pt>
                  <c:pt idx="22">
                    <c:v>The Flower Shop</c:v>
                  </c:pt>
                  <c:pt idx="23">
                    <c:v>Light to fight the shadows</c:v>
                  </c:pt>
                  <c:pt idx="24">
                    <c:v>My Love Mine All Mine</c:v>
                  </c:pt>
                  <c:pt idx="25">
                    <c:v>This Ship has Sailed</c:v>
                  </c:pt>
                  <c:pt idx="26">
                    <c:v>To Feel To Fall</c:v>
                  </c:pt>
                  <c:pt idx="27">
                    <c:v>A Life in Letters</c:v>
                  </c:pt>
                </c15:dlblRangeCache>
              </c15:datalabelsRange>
            </c:ext>
            <c:ext xmlns:c16="http://schemas.microsoft.com/office/drawing/2014/chart" uri="{C3380CC4-5D6E-409C-BE32-E72D297353CC}">
              <c16:uniqueId val="{00000000-32CD-4BA3-AE4E-51A8D9203BC5}"/>
            </c:ext>
          </c:extLst>
        </c:ser>
        <c:dLbls>
          <c:dLblPos val="t"/>
          <c:showLegendKey val="0"/>
          <c:showVal val="1"/>
          <c:showCatName val="0"/>
          <c:showSerName val="0"/>
          <c:showPercent val="0"/>
          <c:showBubbleSize val="0"/>
        </c:dLbls>
        <c:axId val="1836379279"/>
        <c:axId val="1945687391"/>
      </c:scatterChart>
      <c:valAx>
        <c:axId val="183637927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nl-NL" sz="2000" b="1" i="0" u="none" strike="noStrike" kern="1200" baseline="0">
                    <a:solidFill>
                      <a:sysClr val="windowText" lastClr="000000">
                        <a:lumMod val="65000"/>
                        <a:lumOff val="35000"/>
                      </a:sysClr>
                    </a:solidFill>
                    <a:latin typeface="Times New Roman" panose="02020603050405020304" pitchFamily="18" charset="0"/>
                    <a:cs typeface="Times New Roman" panose="02020603050405020304" pitchFamily="18" charset="0"/>
                  </a:rPr>
                  <a:t>Rubric Score (%)</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NL"/>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945687391"/>
        <c:crosses val="autoZero"/>
        <c:crossBetween val="midCat"/>
      </c:valAx>
      <c:valAx>
        <c:axId val="194568739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6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nl-NL" sz="1600">
                    <a:latin typeface="Times New Roman" panose="02020603050405020304" pitchFamily="18" charset="0"/>
                    <a:cs typeface="Times New Roman" panose="02020603050405020304" pitchFamily="18" charset="0"/>
                  </a:rPr>
                  <a:t>Reduction Factor on Hits/Time to model lifecycle stage</a:t>
                </a:r>
              </a:p>
            </c:rich>
          </c:tx>
          <c:overlay val="0"/>
          <c:spPr>
            <a:noFill/>
            <a:ln>
              <a:noFill/>
            </a:ln>
            <a:effectLst/>
          </c:spPr>
          <c:txPr>
            <a:bodyPr rot="-5400000" spcFirstLastPara="1" vertOverflow="ellipsis" vert="horz" wrap="square" anchor="ctr" anchorCtr="1"/>
            <a:lstStyle/>
            <a:p>
              <a:pPr>
                <a:defRPr sz="16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NL"/>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83637927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342900</xdr:colOff>
      <xdr:row>0</xdr:row>
      <xdr:rowOff>129540</xdr:rowOff>
    </xdr:from>
    <xdr:to>
      <xdr:col>36</xdr:col>
      <xdr:colOff>365760</xdr:colOff>
      <xdr:row>32</xdr:row>
      <xdr:rowOff>0</xdr:rowOff>
    </xdr:to>
    <xdr:graphicFrame macro="">
      <xdr:nvGraphicFramePr>
        <xdr:cNvPr id="3" name="Chart 2">
          <a:extLst>
            <a:ext uri="{FF2B5EF4-FFF2-40B4-BE49-F238E27FC236}">
              <a16:creationId xmlns:a16="http://schemas.microsoft.com/office/drawing/2014/main" id="{0461C784-EDC3-2130-FBFF-7062E57D2B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323850</xdr:colOff>
      <xdr:row>33</xdr:row>
      <xdr:rowOff>30480</xdr:rowOff>
    </xdr:from>
    <xdr:to>
      <xdr:col>36</xdr:col>
      <xdr:colOff>369570</xdr:colOff>
      <xdr:row>55</xdr:row>
      <xdr:rowOff>53789</xdr:rowOff>
    </xdr:to>
    <xdr:graphicFrame macro="">
      <xdr:nvGraphicFramePr>
        <xdr:cNvPr id="2" name="Chart 1">
          <a:extLst>
            <a:ext uri="{FF2B5EF4-FFF2-40B4-BE49-F238E27FC236}">
              <a16:creationId xmlns:a16="http://schemas.microsoft.com/office/drawing/2014/main" id="{084AFD42-CB98-9F99-FC87-D2816F7A23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4" xr16:uid="{A6BADA47-F405-4C79-BB0C-27B0A97F01DA}" autoFormatId="16" applyNumberFormats="0" applyBorderFormats="0" applyFontFormats="0" applyPatternFormats="0" applyAlignmentFormats="0" applyWidthHeightFormats="0">
  <queryTableRefresh nextId="18">
    <queryTableFields count="15">
      <queryTableField id="1" name="Titel" tableColumnId="1"/>
      <queryTableField id="2" name="Author" tableColumnId="2"/>
      <queryTableField id="3" name="URL" tableColumnId="3"/>
      <queryTableField id="4" name="Status" tableColumnId="4"/>
      <queryTableField id="5" name="Wordcount(k)" tableColumnId="5"/>
      <queryTableField id="6" name="Vikmione Type" tableColumnId="6"/>
      <queryTableField id="7" name="Focus" tableColumnId="7"/>
      <queryTableField id="8" name="Plot Summary" tableColumnId="8"/>
      <queryTableField id="9" name="Strongest Point" tableColumnId="9"/>
      <queryTableField id="10" name="Weakest Point" tableColumnId="10"/>
      <queryTableField id="11" name="War solution" tableColumnId="11"/>
      <queryTableField id="12" name="Total Hits" tableColumnId="12"/>
      <queryTableField id="13" name="Years since Publication" tableColumnId="13"/>
      <queryTableField id="16" name="Popularity Score" tableColumnId="14"/>
      <queryTableField id="15" name="Execution Score" tableColumnId="1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FCCDB32B-700E-43E8-9BBA-398D457FDB2D}" autoFormatId="16" applyNumberFormats="0" applyBorderFormats="0" applyFontFormats="0" applyPatternFormats="0" applyAlignmentFormats="0" applyWidthHeightFormats="0">
  <queryTableRefresh nextId="6">
    <queryTableFields count="5">
      <queryTableField id="1" name="Titel" tableColumnId="1"/>
      <queryTableField id="2" name="T" tableColumnId="2"/>
      <queryTableField id="3" name="Rank1" tableColumnId="3"/>
      <queryTableField id="4" name="Rank2" tableColumnId="4"/>
      <queryTableField id="5" name="Rank Diff Squared"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17E4C760-5A2B-46AF-80BA-B99AE3F10317}" autoFormatId="16" applyNumberFormats="0" applyBorderFormats="0" applyFontFormats="0" applyPatternFormats="0" applyAlignmentFormats="0" applyWidthHeightFormats="0">
  <queryTableRefresh nextId="25">
    <queryTableFields count="24">
      <queryTableField id="1" name="Titel" tableColumnId="1"/>
      <queryTableField id="2" name="Canon" tableColumnId="2"/>
      <queryTableField id="3" name="Psychology" tableColumnId="3"/>
      <queryTableField id="4" name="Romance" tableColumnId="4"/>
      <queryTableField id="5" name="Narrative" tableColumnId="5"/>
      <queryTableField id="6" name="Style" tableColumnId="6"/>
      <queryTableField id="7" name="Theme" tableColumnId="7"/>
      <queryTableField id="8" name="Worldbuild" tableColumnId="8"/>
      <queryTableField id="9" name="Viktor" tableColumnId="9"/>
      <queryTableField id="10" name="Original" tableColumnId="10"/>
      <queryTableField id="11" name="Integration" tableColumnId="11"/>
      <queryTableField id="12" name="Total" tableColumnId="12"/>
      <queryTableField id="13" name="Canon2" tableColumnId="13"/>
      <queryTableField id="14" name="Psychology2" tableColumnId="14"/>
      <queryTableField id="15" name="Romance2" tableColumnId="15"/>
      <queryTableField id="16" name="Narrative2" tableColumnId="16"/>
      <queryTableField id="17" name="Style2" tableColumnId="17"/>
      <queryTableField id="18" name="Theme2" tableColumnId="18"/>
      <queryTableField id="19" name="Worldbuild2" tableColumnId="19"/>
      <queryTableField id="20" name="Viktor2" tableColumnId="20"/>
      <queryTableField id="21" name="Original2" tableColumnId="21"/>
      <queryTableField id="22" name="Integration2" tableColumnId="22"/>
      <queryTableField id="23" name="Total2" tableColumnId="23"/>
      <queryTableField id="24" name="T" tableColumnId="2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D3F41FC8-BE09-4D7A-840E-AD4D87D3FDC1}" autoFormatId="16" applyNumberFormats="0" applyBorderFormats="0" applyFontFormats="0" applyPatternFormats="0" applyAlignmentFormats="0" applyWidthHeightFormats="0">
  <queryTableRefresh nextId="21">
    <queryTableFields count="14">
      <queryTableField id="1" name="Titel" tableColumnId="1"/>
      <queryTableField id="2" name="Label" tableColumnId="2"/>
      <queryTableField id="3" name="T" tableColumnId="3"/>
      <queryTableField id="4" name="Delta" tableColumnId="4"/>
      <queryTableField id="5" name="Status" tableColumnId="5"/>
      <queryTableField id="6" name="Type" tableColumnId="6"/>
      <queryTableField id="7" name="Hits/Time" tableColumnId="7"/>
      <queryTableField id="8" name="Kudos/Hits" tableColumnId="8"/>
      <queryTableField id="9" name="Comments/Hits" tableColumnId="9"/>
      <queryTableField id="10" name="RankT" tableColumnId="10"/>
      <queryTableField id="11" name="RankHits" tableColumnId="11"/>
      <queryTableField id="12" name="Squared Rank Diff" tableColumnId="12"/>
      <queryTableField id="13" name="Outliers" tableColumnId="13"/>
      <queryTableField id="20" name="Reduction" tableColumnId="1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C8C29B3-6CE1-40FC-AD39-2481D9B9D41B}" name="Summary" displayName="Summary" ref="A1:O42" tableType="queryTable" totalsRowShown="0" headerRowDxfId="140" dataDxfId="139">
  <autoFilter ref="A1:O42" xr:uid="{1C8C29B3-6CE1-40FC-AD39-2481D9B9D41B}">
    <filterColumn colId="5">
      <filters>
        <filter val="Alternate Reality"/>
        <filter val="Canon-div"/>
        <filter val="Intermezzo"/>
        <filter val="Postwar"/>
      </filters>
    </filterColumn>
  </autoFilter>
  <sortState xmlns:xlrd2="http://schemas.microsoft.com/office/spreadsheetml/2017/richdata2" ref="A2:O41">
    <sortCondition descending="1" ref="O1:O42"/>
  </sortState>
  <tableColumns count="15">
    <tableColumn id="1" xr3:uid="{23277CFB-F12D-46A2-906B-0624D88C3D28}" uniqueName="1" name="Titel" queryTableFieldId="1" dataDxfId="138"/>
    <tableColumn id="2" xr3:uid="{22687F22-4EB4-47B1-8B78-32867011503C}" uniqueName="2" name="Author" queryTableFieldId="2" dataDxfId="137"/>
    <tableColumn id="3" xr3:uid="{78F02C83-5F14-4B5D-BB93-466828D08D19}" uniqueName="3" name="URL" queryTableFieldId="3" dataDxfId="136"/>
    <tableColumn id="4" xr3:uid="{B954A527-7D50-4E38-A5CA-2086E99EBB25}" uniqueName="4" name="Status" queryTableFieldId="4" dataDxfId="135"/>
    <tableColumn id="5" xr3:uid="{6773D946-AB84-4359-AB2B-8AF3E97988B7}" uniqueName="5" name="Wordcount(k)" queryTableFieldId="5" dataDxfId="134"/>
    <tableColumn id="6" xr3:uid="{C303E062-8EEC-4B65-B1F5-7E9645025373}" uniqueName="6" name="Vikmione Type" queryTableFieldId="6" dataDxfId="133"/>
    <tableColumn id="7" xr3:uid="{18E67320-776D-45B0-8AE3-056D525A06F5}" uniqueName="7" name="Focus" queryTableFieldId="7" dataDxfId="132"/>
    <tableColumn id="8" xr3:uid="{6D317C12-60FD-4445-9F70-49835C241474}" uniqueName="8" name="Plot Summary" queryTableFieldId="8" dataDxfId="131"/>
    <tableColumn id="9" xr3:uid="{88EAA7A5-9D9E-4992-9555-03D7BB45E7C7}" uniqueName="9" name="Strongest Point" queryTableFieldId="9" dataDxfId="130"/>
    <tableColumn id="10" xr3:uid="{0D3B14A6-F027-4B8D-95EA-09488CD299E6}" uniqueName="10" name="Weakest Point" queryTableFieldId="10" dataDxfId="129"/>
    <tableColumn id="11" xr3:uid="{659B1B0A-7CAC-47F2-91BF-5D1B4FE8204B}" uniqueName="11" name="War solution" queryTableFieldId="11" dataDxfId="128"/>
    <tableColumn id="12" xr3:uid="{CC3F483D-5B9B-430D-9F91-7302737AF32F}" uniqueName="12" name="Total Hits" queryTableFieldId="12" dataDxfId="127"/>
    <tableColumn id="13" xr3:uid="{2091CC7C-D964-4432-A0EB-355B535FDCAD}" uniqueName="13" name="Years since Publication" queryTableFieldId="13" dataDxfId="126"/>
    <tableColumn id="14" xr3:uid="{3BC14A4B-BB30-44CD-8D7A-726D7E288BA9}" uniqueName="14" name="Popularity Score" queryTableFieldId="16"/>
    <tableColumn id="15" xr3:uid="{A64CC7F3-DB22-4AB5-9B62-09847C510220}" uniqueName="15" name="Execution Score" queryTableFieldId="15" dataDxfId="125"/>
  </tableColumns>
  <tableStyleInfo name="TableStyleMedium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0AE76E2-7860-4628-86A9-CE68A69CA57D}" name="Spearman_Calculation" displayName="Spearman_Calculation" ref="A1:E31" tableType="queryTable" totalsRowShown="0" headerRowDxfId="124" dataDxfId="123">
  <autoFilter ref="A1:E31" xr:uid="{90AE76E2-7860-4628-86A9-CE68A69CA57D}"/>
  <tableColumns count="5">
    <tableColumn id="1" xr3:uid="{020C16A6-F968-49B1-B162-ACDB7BBE1B9A}" uniqueName="1" name="Titel" queryTableFieldId="1" dataDxfId="122"/>
    <tableColumn id="2" xr3:uid="{FBEFACE0-477A-4AA1-87FA-62EB52BF22BA}" uniqueName="2" name="T" queryTableFieldId="2" dataDxfId="121"/>
    <tableColumn id="3" xr3:uid="{993CFEAF-05CA-4AE2-B6F1-58149958C887}" uniqueName="3" name="Rank1" queryTableFieldId="3" dataDxfId="120"/>
    <tableColumn id="4" xr3:uid="{06E8441F-90A0-4C82-BD01-4BD1926109EF}" uniqueName="4" name="Rank2" queryTableFieldId="4" dataDxfId="119"/>
    <tableColumn id="5" xr3:uid="{ECBD0EE1-523A-4100-AD4F-F56A3175732B}" uniqueName="5" name="Rank Diff Squared" queryTableFieldId="5" dataDxfId="118"/>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03B3515-5FC9-4C7C-84A4-862C76CC6FEB}" name="MAD_Alpha_Calculation" displayName="MAD_Alpha_Calculation" ref="A1:X31" tableType="queryTable" totalsRowShown="0" headerRowDxfId="117" dataDxfId="116">
  <autoFilter ref="A1:X31" xr:uid="{903B3515-5FC9-4C7C-84A4-862C76CC6FEB}"/>
  <tableColumns count="24">
    <tableColumn id="1" xr3:uid="{BF858F34-2EC7-48DC-AB47-05A6670829FC}" uniqueName="1" name="Titel" queryTableFieldId="1" dataDxfId="115"/>
    <tableColumn id="2" xr3:uid="{B3774EDC-211F-47FD-9E1C-25B6B3D8400C}" uniqueName="2" name="Canon" queryTableFieldId="2" dataDxfId="114"/>
    <tableColumn id="3" xr3:uid="{7B4A60AE-3C30-4B97-B9D2-D4BE2087AD42}" uniqueName="3" name="Psychology" queryTableFieldId="3" dataDxfId="113"/>
    <tableColumn id="4" xr3:uid="{E3E40F0F-6E23-4234-BE0F-27C01A33C0AA}" uniqueName="4" name="Romance" queryTableFieldId="4" dataDxfId="112"/>
    <tableColumn id="5" xr3:uid="{DED79C03-B6CE-47AA-86F7-F9B7B6FBF9F4}" uniqueName="5" name="Narrative" queryTableFieldId="5" dataDxfId="111"/>
    <tableColumn id="6" xr3:uid="{9AAABCDE-BEEC-47FA-B6EA-F629CEF53402}" uniqueName="6" name="Style" queryTableFieldId="6" dataDxfId="110"/>
    <tableColumn id="7" xr3:uid="{744DB581-37EF-4DDC-9272-5B35DA5527FA}" uniqueName="7" name="Theme" queryTableFieldId="7" dataDxfId="109"/>
    <tableColumn id="8" xr3:uid="{D9F6E97A-AAE4-4CAA-9828-B8C4E69D1E7F}" uniqueName="8" name="Worldbuild" queryTableFieldId="8" dataDxfId="108"/>
    <tableColumn id="9" xr3:uid="{0128445F-D737-4290-BC2A-077BD27F0B8B}" uniqueName="9" name="Viktor" queryTableFieldId="9" dataDxfId="107"/>
    <tableColumn id="10" xr3:uid="{F75E2AB8-C5D5-4C06-BD76-7A47233BC6AE}" uniqueName="10" name="Original" queryTableFieldId="10" dataDxfId="106"/>
    <tableColumn id="11" xr3:uid="{EED2602E-F504-4C87-88C6-B450679DC05E}" uniqueName="11" name="Integration" queryTableFieldId="11" dataDxfId="105"/>
    <tableColumn id="12" xr3:uid="{D1959E0A-EFB6-48CF-9761-219E850D5E20}" uniqueName="12" name="Total" queryTableFieldId="12" dataDxfId="104"/>
    <tableColumn id="13" xr3:uid="{07A764AA-CFAC-4CF6-AC5C-1004C04FE7F4}" uniqueName="13" name="Canon2" queryTableFieldId="13" dataDxfId="103"/>
    <tableColumn id="14" xr3:uid="{94DB9CB5-8221-44AF-9CA7-095E31A14F2B}" uniqueName="14" name="Psychology2" queryTableFieldId="14" dataDxfId="102"/>
    <tableColumn id="15" xr3:uid="{15758E23-94BD-4372-9BB3-457AA0527B79}" uniqueName="15" name="Romance2" queryTableFieldId="15" dataDxfId="101"/>
    <tableColumn id="16" xr3:uid="{7A7F9865-63EC-47CE-A5B0-74DB84725000}" uniqueName="16" name="Narrative2" queryTableFieldId="16" dataDxfId="100"/>
    <tableColumn id="17" xr3:uid="{7547CB6C-7B20-4A98-A391-E5478B6D6CAC}" uniqueName="17" name="Style2" queryTableFieldId="17" dataDxfId="99"/>
    <tableColumn id="18" xr3:uid="{46BDF939-6E50-4BCA-91D0-6F5DD88D57D4}" uniqueName="18" name="Theme2" queryTableFieldId="18" dataDxfId="98"/>
    <tableColumn id="19" xr3:uid="{1E5A05A0-6123-4388-B66B-DD1778AA0E6F}" uniqueName="19" name="Worldbuild2" queryTableFieldId="19" dataDxfId="97"/>
    <tableColumn id="20" xr3:uid="{2E6A1972-48DA-455D-A9DA-6F3BDDAB1F0D}" uniqueName="20" name="Viktor2" queryTableFieldId="20" dataDxfId="96"/>
    <tableColumn id="21" xr3:uid="{A8882A9C-A8F6-465F-B39E-32FC9ECF0221}" uniqueName="21" name="Original2" queryTableFieldId="21" dataDxfId="95"/>
    <tableColumn id="22" xr3:uid="{C6E93CC6-3798-4FC3-9E33-92B9B0FA9717}" uniqueName="22" name="Integration2" queryTableFieldId="22" dataDxfId="94"/>
    <tableColumn id="23" xr3:uid="{69BAB205-BAB8-481C-A22C-481DD3072C6F}" uniqueName="23" name="Total2" queryTableFieldId="23" dataDxfId="93"/>
    <tableColumn id="24" xr3:uid="{69D0BE63-C985-4DDE-8161-C31DB9D1B55F}" uniqueName="24" name="T" queryTableFieldId="24" dataDxfId="92"/>
  </tableColumns>
  <tableStyleInfo name="TableStyleMedium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EFC4DAB-0BED-4071-8F80-4379B328EE83}" name="Score_Hits_Correlation" displayName="Score_Hits_Correlation" ref="A1:N29" tableType="queryTable" totalsRowShown="0" headerRowDxfId="91" dataDxfId="90">
  <autoFilter ref="A1:N29" xr:uid="{7EFC4DAB-0BED-4071-8F80-4379B328EE83}"/>
  <tableColumns count="14">
    <tableColumn id="1" xr3:uid="{B0659DD4-FA81-4260-8D10-915929650723}" uniqueName="1" name="Titel" queryTableFieldId="1" dataDxfId="89"/>
    <tableColumn id="2" xr3:uid="{8B546D3F-1F01-45DE-BC15-53627D63DBD0}" uniqueName="2" name="Label" queryTableFieldId="2" dataDxfId="88"/>
    <tableColumn id="3" xr3:uid="{5418E4D8-E83A-42E1-96AF-60857FC311C0}" uniqueName="3" name="T" queryTableFieldId="3" dataDxfId="87"/>
    <tableColumn id="4" xr3:uid="{CCB904CB-824B-4ECC-A8BE-F90A6E86718C}" uniqueName="4" name="Delta" queryTableFieldId="4" dataDxfId="86"/>
    <tableColumn id="5" xr3:uid="{9DEAF257-6969-4155-A616-BD31640852E4}" uniqueName="5" name="Status" queryTableFieldId="5" dataDxfId="85"/>
    <tableColumn id="6" xr3:uid="{92984F6D-843E-4A61-A82B-99E5B1579768}" uniqueName="6" name="Type" queryTableFieldId="6" dataDxfId="84"/>
    <tableColumn id="7" xr3:uid="{33B7D60F-543D-49A1-984C-096B26C5DB64}" uniqueName="7" name="Hits/Time" queryTableFieldId="7" dataDxfId="83"/>
    <tableColumn id="8" xr3:uid="{3EEFD211-44AC-4E06-858B-D3321048DCD3}" uniqueName="8" name="Kudos/Hits" queryTableFieldId="8" dataDxfId="82"/>
    <tableColumn id="9" xr3:uid="{0AFC2299-22A9-401C-8413-8E57E8D5C808}" uniqueName="9" name="Comments/Hits" queryTableFieldId="9" dataDxfId="81"/>
    <tableColumn id="10" xr3:uid="{4B2A8A8F-BB47-4522-9706-34D545A50B95}" uniqueName="10" name="RankT" queryTableFieldId="10" dataDxfId="80"/>
    <tableColumn id="11" xr3:uid="{99A66775-4970-4935-A0E6-B45B15EDECD1}" uniqueName="11" name="RankHits" queryTableFieldId="11" dataDxfId="79"/>
    <tableColumn id="12" xr3:uid="{DBE3801B-8FB4-41FD-AE48-AE9E57D39747}" uniqueName="12" name="Squared Rank Diff" queryTableFieldId="12" dataDxfId="78"/>
    <tableColumn id="13" xr3:uid="{6DBCB4CA-A084-4F00-9796-D6B64A543D7A}" uniqueName="13" name="Outliers" queryTableFieldId="13" dataDxfId="77"/>
    <tableColumn id="15" xr3:uid="{876A98A9-8758-4A3C-9D65-3330A9808DA6}" uniqueName="15" name="Reduction" queryTableFieldId="20"/>
  </tableColumns>
  <tableStyleInfo name="TableStyleMedium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3375132-6E49-4FD2-BEC1-713D1682FDCB}" name="Table3" displayName="Table3" ref="A1:BS44" totalsRowShown="0" headerRowDxfId="76" dataDxfId="75">
  <autoFilter ref="A1:BS44" xr:uid="{53375132-6E49-4FD2-BEC1-713D1682FDCB}"/>
  <sortState xmlns:xlrd2="http://schemas.microsoft.com/office/spreadsheetml/2017/richdata2" ref="A2:BS44">
    <sortCondition descending="1" ref="AS1:AS44"/>
  </sortState>
  <tableColumns count="71">
    <tableColumn id="1" xr3:uid="{2E3F3E23-796E-4522-A4AA-58E0315F2508}" name="Titel" dataDxfId="74"/>
    <tableColumn id="23" xr3:uid="{951180CC-4733-457F-A060-B419000219D2}" name="Canon" dataDxfId="73"/>
    <tableColumn id="22" xr3:uid="{6565AA47-7CAD-4A13-89AC-E7E14D4E1837}" name="Psychology" dataDxfId="72"/>
    <tableColumn id="21" xr3:uid="{AF7DFD48-A477-4D6B-A51C-390AF32A570A}" name="Romance" dataDxfId="71"/>
    <tableColumn id="20" xr3:uid="{55ED2B22-EF4B-4F46-941D-45FA83068DA5}" name="Narrative" dataDxfId="70"/>
    <tableColumn id="19" xr3:uid="{705955D0-584B-485F-8B50-67077D51F1C5}" name="Style" dataDxfId="69"/>
    <tableColumn id="18" xr3:uid="{662D9F3A-040D-48A9-B383-113D6170F1AA}" name="Theme" dataDxfId="68"/>
    <tableColumn id="17" xr3:uid="{2337B53B-3794-4C3C-88DA-906146194D95}" name="Worldbuild" dataDxfId="67"/>
    <tableColumn id="16" xr3:uid="{0760D94A-8931-48FE-9C9C-ED5AEC3046E4}" name="Viktor" dataDxfId="66"/>
    <tableColumn id="15" xr3:uid="{3E0E5194-D476-4D0C-8930-602DE9C357EB}" name="Original" dataDxfId="65"/>
    <tableColumn id="14" xr3:uid="{76EF317F-C425-480B-B57D-D64C7B479485}" name="Integration" dataDxfId="64"/>
    <tableColumn id="13" xr3:uid="{A40A61F8-7307-4E7A-B2D9-EEA9265F6B65}" name="A" dataDxfId="63">
      <calculatedColumnFormula>(C2+E2+F2+G2)/4</calculatedColumnFormula>
    </tableColumn>
    <tableColumn id="2" xr3:uid="{3201AC46-384B-4D28-AD48-21FB6328D261}" name="B" dataDxfId="62">
      <calculatedColumnFormula>(B2+H2)/2</calculatedColumnFormula>
    </tableColumn>
    <tableColumn id="3" xr3:uid="{75B55AE2-EB04-4EED-8F2C-271EFE036FAD}" name="C" dataDxfId="61">
      <calculatedColumnFormula>(D2+I2+J2+K2)/4</calculatedColumnFormula>
    </tableColumn>
    <tableColumn id="4" xr3:uid="{A9EAFE10-404F-44EC-A081-68934D8FB9CF}" name="D" dataDxfId="60">
      <calculatedColumnFormula>(D2+G2)/2</calculatedColumnFormula>
    </tableColumn>
    <tableColumn id="8" xr3:uid="{2D96DB2F-1D9E-4B30-82D5-1B9422B893CC}" name="E" dataDxfId="59">
      <calculatedColumnFormula>ROUND((1/3)*(C2+D2+F2),1)</calculatedColumnFormula>
    </tableColumn>
    <tableColumn id="7" xr3:uid="{3D3829FD-A3FF-42D6-AFD1-27ED37911FA2}" name="F" dataDxfId="58">
      <calculatedColumnFormula>ROUND((1/4)*(E2+H2+J2+K2),1)</calculatedColumnFormula>
    </tableColumn>
    <tableColumn id="9" xr3:uid="{F620387C-8CF1-4F04-BB11-8D4EE14BB31C}" name="Analysis" dataDxfId="57">
      <calculatedColumnFormula>S2-10*MIN(P2,Q2,B2)</calculatedColumnFormula>
    </tableColumn>
    <tableColumn id="5" xr3:uid="{BA6B8629-39BC-4FDD-8785-1E8238169730}" name="Total" dataDxfId="56">
      <calculatedColumnFormula>ROUND(0.5*(10/3)*(L2+M2+N2)+(1-0.5)*10*MIN(L2,M2,N2,O2),1)</calculatedColumnFormula>
    </tableColumn>
    <tableColumn id="6" xr3:uid="{D8DED6F2-078C-4373-9162-F40C415C93B1}" name="Drift" dataDxfId="55">
      <calculatedColumnFormula>ROUND((10/3)*(L2+M2+N2) - 10*MIN(L2,M2,N2,O2),0)</calculatedColumnFormula>
    </tableColumn>
    <tableColumn id="10" xr3:uid="{34ED6B23-83C3-4D8A-B6DE-06BBFFD5D8A1}" name="Canon2" dataDxfId="54"/>
    <tableColumn id="11" xr3:uid="{4AAF4AF9-2625-45CE-B218-B2323971A6B8}" name="Psychology2" dataDxfId="53"/>
    <tableColumn id="12" xr3:uid="{442267C2-7E6A-49D4-A8FC-CF5950FCE6EE}" name="Romance2" dataDxfId="52"/>
    <tableColumn id="24" xr3:uid="{0493EEFC-A94F-4FDC-9E71-80FAF492D2B0}" name="Narrative2" dataDxfId="51"/>
    <tableColumn id="25" xr3:uid="{9226DB19-47B3-44A4-9B6E-4C1CD04A6E40}" name="Style2" dataDxfId="50"/>
    <tableColumn id="26" xr3:uid="{E3BAFCBE-8C48-4C0E-949E-78FE5DED5EBD}" name="Theme2" dataDxfId="49"/>
    <tableColumn id="27" xr3:uid="{F2C983E4-F504-4D27-BC0D-7A4CE4453DF3}" name="Worldbuild2" dataDxfId="48"/>
    <tableColumn id="28" xr3:uid="{98AB0B38-2DE5-4C49-910E-A632A2CF67A6}" name="Viktor2" dataDxfId="47"/>
    <tableColumn id="29" xr3:uid="{13597BEB-41FE-40ED-A91B-11659DBA5B34}" name="Original2" dataDxfId="46"/>
    <tableColumn id="30" xr3:uid="{759C96EE-B1FC-43EB-9772-55E48729792C}" name="Integration2" dataDxfId="45"/>
    <tableColumn id="31" xr3:uid="{4BFDF3D2-0E90-4D70-B234-DF7B3D218C2A}" name="A2" dataDxfId="44">
      <calculatedColumnFormula>(V2+X2+Y2+Z2)/4</calculatedColumnFormula>
    </tableColumn>
    <tableColumn id="32" xr3:uid="{8F6A6E75-199B-48E5-BACA-CF73824FEA20}" name="B2" dataDxfId="43">
      <calculatedColumnFormula>(U2+AA2)/2</calculatedColumnFormula>
    </tableColumn>
    <tableColumn id="33" xr3:uid="{74423AE4-3778-4FFA-913A-9044BD94E73F}" name="C2" dataDxfId="42">
      <calculatedColumnFormula>(W2+AB2+AC2+AD2)/4</calculatedColumnFormula>
    </tableColumn>
    <tableColumn id="34" xr3:uid="{9604AFFE-C13F-4275-B10D-51194F32038A}" name="D2" dataDxfId="41">
      <calculatedColumnFormula>(W2+Z2)/2</calculatedColumnFormula>
    </tableColumn>
    <tableColumn id="35" xr3:uid="{9156A6AF-4B47-4FD1-B110-4E828CDD3E30}" name="E2" dataDxfId="40">
      <calculatedColumnFormula>ROUND((V2+W2+Y2)/3,1)</calculatedColumnFormula>
    </tableColumn>
    <tableColumn id="36" xr3:uid="{154180FF-AF43-4079-8833-21E6692F0F96}" name="F2" dataDxfId="39">
      <calculatedColumnFormula>ROUND((X2+AA2+AC2+AD2)/4,1)</calculatedColumnFormula>
    </tableColumn>
    <tableColumn id="37" xr3:uid="{C18CBE3A-2C51-49C8-BDD0-061E7A8E3B84}" name="Analysis2" dataDxfId="38">
      <calculatedColumnFormula>AL2-10*MIN(AI2,AJ2,AF2)</calculatedColumnFormula>
    </tableColumn>
    <tableColumn id="38" xr3:uid="{A79272A5-8DEC-408A-9E9C-EC3A3C66F9B9}" name="Total2" dataDxfId="37">
      <calculatedColumnFormula>ROUND(0.5*(10/3)*(AE2+AF2+AG2)+(1-0.5)*10*MIN(AE2,AF2,AG2,AH2),1)</calculatedColumnFormula>
    </tableColumn>
    <tableColumn id="39" xr3:uid="{5944EA24-6682-4E8E-AED2-86F2939C793F}" name="Drift2" dataDxfId="36">
      <calculatedColumnFormula>ROUND((10/3)*(AE2+AF2+AG2)-10*MIN(AE2,AF2,AG2,AH2),0)</calculatedColumnFormula>
    </tableColumn>
    <tableColumn id="40" xr3:uid="{CD76B329-6A72-4102-9ADF-2CE0BF0FB7E1}" name="Label" dataDxfId="35"/>
    <tableColumn id="42" xr3:uid="{7D693DD9-9FB2-47B8-BC42-62C5413F64D3}" name="Aavg" dataDxfId="34">
      <calculatedColumnFormula>(V2+X2+Y2+Z2+C2+E2+F2+G2)/8</calculatedColumnFormula>
    </tableColumn>
    <tableColumn id="43" xr3:uid="{9D30E272-C42A-4610-8115-D8C44C73E6CA}" name="Bavg" dataDxfId="33">
      <calculatedColumnFormula>(B2+H2+U2+AA2)/4</calculatedColumnFormula>
    </tableColumn>
    <tableColumn id="44" xr3:uid="{814AF177-3ADB-4ABE-A9EA-0B43084DF0CD}" name="Cavg" dataDxfId="32">
      <calculatedColumnFormula>(W2+AB2+AC2+AD2+D2+I2+J2+K2)/8</calculatedColumnFormula>
    </tableColumn>
    <tableColumn id="45" xr3:uid="{579492A9-4805-44E3-AD22-C6A87FFE7EAE}" name="Davg" dataDxfId="31">
      <calculatedColumnFormula>(D2+W2+G2+Z2)/4</calculatedColumnFormula>
    </tableColumn>
    <tableColumn id="46" xr3:uid="{E6A7BF46-87C8-4BCD-9BA7-3858E5E90FE5}" name="T" dataDxfId="30">
      <calculatedColumnFormula>ROUND(0.5*(10/3)*(AO2+AP2+AQ2)+(1-0.5)*10*MIN(AO2,AP2,AQ2,AR2),1)</calculatedColumnFormula>
    </tableColumn>
    <tableColumn id="47" xr3:uid="{B1EB8987-B046-45E3-B174-E06C6053D10F}" name="Delta" dataDxfId="29">
      <calculatedColumnFormula>ROUND((10/3)*(AO2+AP2+AQ2)-10*MIN(AO2,AP2,AQ2,AR2),0)</calculatedColumnFormula>
    </tableColumn>
    <tableColumn id="52" xr3:uid="{258C88AC-8346-4C37-91A0-241538821F77}" name="Wordcount(k)" dataDxfId="28"/>
    <tableColumn id="53" xr3:uid="{13DEAEF2-0686-4E86-8010-861E3BBFF4DD}" name="Hits" dataDxfId="27"/>
    <tableColumn id="54" xr3:uid="{07DDF41E-0AE3-4D8E-8E15-8982D6B414C4}" name="Kudos" dataDxfId="26"/>
    <tableColumn id="55" xr3:uid="{B2494D06-5569-4AB8-B56E-42C3B636C97E}" name="Comments" dataDxfId="25"/>
    <tableColumn id="56" xr3:uid="{C5EF492D-10DD-419E-8D03-7A00A4E7B5ED}" name="Startdate6" dataDxfId="24"/>
    <tableColumn id="57" xr3:uid="{F6D8DEFF-F174-42EA-9577-A2501077540D}" name="Status" dataDxfId="23"/>
    <tableColumn id="58" xr3:uid="{0AE35C6A-EC2F-40F7-862B-EFF86869CB85}" name="Type" dataDxfId="22"/>
    <tableColumn id="61" xr3:uid="{88B6DA17-909C-4588-ACBE-AD09785DBCB7}" name="Measurement Point" dataDxfId="21"/>
    <tableColumn id="59" xr3:uid="{38919225-A786-4019-8AC9-A22B79ED5B52}" name="Time Delta" dataDxfId="20">
      <calculatedColumnFormula>BB2-AY2</calculatedColumnFormula>
    </tableColumn>
    <tableColumn id="62" xr3:uid="{F142B3DF-8CB5-48E2-BEB1-65DE441B3523}" name="Hits/Time" dataDxfId="19">
      <calculatedColumnFormula>ROUND(AV2/BC2,1)</calculatedColumnFormula>
    </tableColumn>
    <tableColumn id="60" xr3:uid="{74C05F26-C068-4209-98AB-095DD5188C96}" name="Kudos/Hits" dataDxfId="18">
      <calculatedColumnFormula>ROUND(100*AW2/AV2,1)</calculatedColumnFormula>
    </tableColumn>
    <tableColumn id="63" xr3:uid="{3A17CF93-481A-40FD-A986-83A19BF0CC53}" name="Comments/Hits" dataDxfId="17">
      <calculatedColumnFormula>ROUND(100*AX2/AV2,1)</calculatedColumnFormula>
    </tableColumn>
    <tableColumn id="48" xr3:uid="{6D5F77D4-3DB2-40F5-8858-5356D8C201E4}" name="Correction" dataDxfId="16">
      <calculatedColumnFormula>LOOKUP(BC2,$A$47:$A$61,$B$47:$B$61)</calculatedColumnFormula>
    </tableColumn>
    <tableColumn id="49" xr3:uid="{49902E21-C8FE-4A29-9CFC-6A30D15817C4}" name="Clickability score" dataDxfId="15"/>
    <tableColumn id="51" xr3:uid="{137B140F-11D8-4256-AA2D-F09F099D72DB}" name="Outliers" dataDxfId="14"/>
    <tableColumn id="65" xr3:uid="{D57B6164-0A18-43A7-86FB-BB3F9AAD60E5}" name="Public Score" dataDxfId="13">
      <calculatedColumnFormula>BD2*BG2</calculatedColumnFormula>
    </tableColumn>
    <tableColumn id="76" xr3:uid="{BB66E16D-4002-48AF-AB17-D9EF63E729B3}" name="Focus" dataDxfId="12"/>
    <tableColumn id="77" xr3:uid="{AA4AA948-878F-4D8E-9DB3-7040A321423D}" name="Plot Summary" dataDxfId="11"/>
    <tableColumn id="78" xr3:uid="{D19F2E3A-0DE4-40C8-A4E6-68E6BBAEDABA}" name="War solution" dataDxfId="10"/>
    <tableColumn id="79" xr3:uid="{B733EDFE-C1FA-4D7D-BC47-EAD99E4ACEC1}" name="Strongest Point" dataDxfId="9"/>
    <tableColumn id="80" xr3:uid="{773790EC-AF04-401F-9A8B-602904218551}" name="Weakest Point" dataDxfId="8"/>
    <tableColumn id="82" xr3:uid="{9245FDF5-ACAA-482F-95A0-04F76D80C78C}" name="Vikmione Type" dataDxfId="7"/>
    <tableColumn id="83" xr3:uid="{299633E3-6FD8-42EF-BE15-A7E343ED14EE}" name="Type Justification" dataDxfId="6"/>
    <tableColumn id="50" xr3:uid="{ECFDABB6-82FD-4CBC-8EE4-5344477433D3}" name="Author" dataDxfId="5"/>
    <tableColumn id="64" xr3:uid="{1CC06276-86D5-4CAB-A788-8D401CC54F03}" name="URL" dataDxfId="4"/>
  </tableColumns>
  <tableStyleInfo name="TableStyleMedium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6390720-D367-4A6F-B2B0-23DC3D55A00E}" name="Table6" displayName="Table6" ref="A46:B61" totalsRowShown="0" headerRowDxfId="3" dataDxfId="2">
  <autoFilter ref="A46:B61" xr:uid="{46390720-D367-4A6F-B2B0-23DC3D55A00E}"/>
  <tableColumns count="2">
    <tableColumn id="1" xr3:uid="{5AF1A72A-62A6-4D5A-A52F-EA9D4C82AF28}" name="Time Delta" dataDxfId="1"/>
    <tableColumn id="2" xr3:uid="{B73663AE-C428-4D20-BBF8-A77DD4F202E4}" name="Correction" data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archiveofourown.org/series/5376601" TargetMode="External"/><Relationship Id="rId1" Type="http://schemas.openxmlformats.org/officeDocument/2006/relationships/hyperlink" Target="https://archiveofourown.org/works/3402233" TargetMode="External"/><Relationship Id="rId5" Type="http://schemas.openxmlformats.org/officeDocument/2006/relationships/table" Target="../tables/table6.xm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649A5-CD1D-43F3-AE9D-B5C999A3C1AB}">
  <dimension ref="A1:O42"/>
  <sheetViews>
    <sheetView workbookViewId="0">
      <selection activeCell="B1" sqref="B1"/>
    </sheetView>
  </sheetViews>
  <sheetFormatPr defaultRowHeight="14.4" x14ac:dyDescent="0.3"/>
  <cols>
    <col min="1" max="1" width="40.109375" bestFit="1" customWidth="1"/>
    <col min="2" max="2" width="30.44140625" bestFit="1" customWidth="1"/>
    <col min="3" max="3" width="44.44140625" style="21" bestFit="1" customWidth="1"/>
    <col min="4" max="4" width="26.33203125" bestFit="1" customWidth="1"/>
    <col min="5" max="5" width="16.44140625" bestFit="1" customWidth="1"/>
    <col min="6" max="6" width="17.5546875" bestFit="1" customWidth="1"/>
    <col min="7" max="7" width="9.109375" bestFit="1" customWidth="1"/>
    <col min="8" max="11" width="80.88671875" bestFit="1" customWidth="1"/>
    <col min="12" max="12" width="12.6640625" bestFit="1" customWidth="1"/>
    <col min="13" max="13" width="25.109375" bestFit="1" customWidth="1"/>
    <col min="14" max="14" width="18.5546875" customWidth="1"/>
    <col min="15" max="15" width="18.5546875" bestFit="1" customWidth="1"/>
    <col min="16" max="16" width="18.109375" customWidth="1"/>
  </cols>
  <sheetData>
    <row r="1" spans="1:15" ht="15.6" x14ac:dyDescent="0.3">
      <c r="A1" s="9" t="s">
        <v>61</v>
      </c>
      <c r="B1" s="9" t="s">
        <v>389</v>
      </c>
      <c r="C1" s="24" t="s">
        <v>390</v>
      </c>
      <c r="D1" s="9" t="s">
        <v>200</v>
      </c>
      <c r="E1" s="9" t="s">
        <v>202</v>
      </c>
      <c r="F1" s="9" t="s">
        <v>62</v>
      </c>
      <c r="G1" s="9" t="s">
        <v>306</v>
      </c>
      <c r="H1" s="9" t="s">
        <v>307</v>
      </c>
      <c r="I1" s="9" t="s">
        <v>308</v>
      </c>
      <c r="J1" s="9" t="s">
        <v>309</v>
      </c>
      <c r="K1" s="9" t="s">
        <v>37</v>
      </c>
      <c r="L1" s="9" t="s">
        <v>402</v>
      </c>
      <c r="M1" s="9" t="s">
        <v>403</v>
      </c>
      <c r="N1" s="9" t="s">
        <v>425</v>
      </c>
      <c r="O1" s="9" t="s">
        <v>404</v>
      </c>
    </row>
    <row r="2" spans="1:15" ht="15.6" x14ac:dyDescent="0.3">
      <c r="A2" s="9" t="s">
        <v>24</v>
      </c>
      <c r="B2" s="9" t="s">
        <v>63</v>
      </c>
      <c r="C2" s="23" t="s">
        <v>71</v>
      </c>
      <c r="D2" s="9" t="s">
        <v>201</v>
      </c>
      <c r="E2" s="9">
        <v>360</v>
      </c>
      <c r="F2" s="9" t="s">
        <v>226</v>
      </c>
      <c r="G2" s="9" t="s">
        <v>235</v>
      </c>
      <c r="H2" s="22" t="s">
        <v>328</v>
      </c>
      <c r="I2" s="22" t="s">
        <v>236</v>
      </c>
      <c r="J2" s="22" t="s">
        <v>311</v>
      </c>
      <c r="K2" s="22" t="s">
        <v>341</v>
      </c>
      <c r="L2" s="9">
        <v>9138</v>
      </c>
      <c r="M2" s="9">
        <v>0.43</v>
      </c>
      <c r="N2" s="9">
        <v>43.068000000000005</v>
      </c>
      <c r="O2" s="9">
        <v>87.9</v>
      </c>
    </row>
    <row r="3" spans="1:15" ht="15.6" x14ac:dyDescent="0.3">
      <c r="A3" s="9" t="s">
        <v>2</v>
      </c>
      <c r="B3" s="9" t="s">
        <v>64</v>
      </c>
      <c r="C3" s="21" t="s">
        <v>73</v>
      </c>
      <c r="D3" s="9" t="s">
        <v>203</v>
      </c>
      <c r="E3" s="9">
        <v>93</v>
      </c>
      <c r="F3" s="9" t="s">
        <v>237</v>
      </c>
      <c r="G3" s="9" t="s">
        <v>135</v>
      </c>
      <c r="H3" s="22" t="s">
        <v>379</v>
      </c>
      <c r="I3" s="22" t="s">
        <v>382</v>
      </c>
      <c r="J3" s="22" t="s">
        <v>238</v>
      </c>
      <c r="K3" s="22" t="s">
        <v>381</v>
      </c>
      <c r="L3" s="9">
        <v>3156</v>
      </c>
      <c r="M3" s="9">
        <v>0.56000000000000005</v>
      </c>
      <c r="N3" s="9">
        <v>11.934000000000001</v>
      </c>
      <c r="O3" s="9">
        <v>85.4</v>
      </c>
    </row>
    <row r="4" spans="1:15" ht="15.6" x14ac:dyDescent="0.3">
      <c r="A4" s="9" t="s">
        <v>17</v>
      </c>
      <c r="B4" s="9" t="s">
        <v>77</v>
      </c>
      <c r="C4" s="21" t="s">
        <v>76</v>
      </c>
      <c r="D4" s="9" t="s">
        <v>203</v>
      </c>
      <c r="E4" s="9">
        <v>551</v>
      </c>
      <c r="F4" s="9" t="s">
        <v>237</v>
      </c>
      <c r="G4" s="9" t="s">
        <v>235</v>
      </c>
      <c r="H4" s="22" t="s">
        <v>380</v>
      </c>
      <c r="I4" s="22" t="s">
        <v>243</v>
      </c>
      <c r="J4" s="22" t="s">
        <v>244</v>
      </c>
      <c r="K4" s="22" t="s">
        <v>242</v>
      </c>
      <c r="L4" s="9">
        <v>118644</v>
      </c>
      <c r="M4" s="9">
        <v>6.08</v>
      </c>
      <c r="N4" s="9">
        <v>53.5</v>
      </c>
      <c r="O4" s="9">
        <v>84.2</v>
      </c>
    </row>
    <row r="5" spans="1:15" ht="15.6" x14ac:dyDescent="0.3">
      <c r="A5" s="9" t="s">
        <v>16</v>
      </c>
      <c r="B5" s="9" t="s">
        <v>70</v>
      </c>
      <c r="C5" s="21" t="s">
        <v>69</v>
      </c>
      <c r="D5" s="9" t="s">
        <v>203</v>
      </c>
      <c r="E5" s="9">
        <v>253</v>
      </c>
      <c r="F5" s="9" t="s">
        <v>226</v>
      </c>
      <c r="G5" s="9" t="s">
        <v>135</v>
      </c>
      <c r="H5" s="22" t="s">
        <v>233</v>
      </c>
      <c r="I5" s="22" t="s">
        <v>234</v>
      </c>
      <c r="J5" s="22" t="s">
        <v>352</v>
      </c>
      <c r="K5" s="22" t="s">
        <v>340</v>
      </c>
      <c r="L5" s="9">
        <v>95681</v>
      </c>
      <c r="M5" s="9">
        <v>6.92</v>
      </c>
      <c r="N5" s="9">
        <v>37.9</v>
      </c>
      <c r="O5" s="9">
        <v>82.5</v>
      </c>
    </row>
    <row r="6" spans="1:15" ht="15.6" x14ac:dyDescent="0.3">
      <c r="A6" s="9" t="s">
        <v>125</v>
      </c>
      <c r="B6" s="9" t="s">
        <v>63</v>
      </c>
      <c r="C6" s="21" t="s">
        <v>128</v>
      </c>
      <c r="D6" s="9" t="s">
        <v>201</v>
      </c>
      <c r="E6" s="9">
        <v>179</v>
      </c>
      <c r="F6" s="9" t="s">
        <v>226</v>
      </c>
      <c r="G6" s="9" t="s">
        <v>235</v>
      </c>
      <c r="H6" s="22" t="s">
        <v>329</v>
      </c>
      <c r="I6" s="22" t="s">
        <v>271</v>
      </c>
      <c r="J6" s="22" t="s">
        <v>312</v>
      </c>
      <c r="K6" s="22" t="s">
        <v>339</v>
      </c>
      <c r="L6" s="9">
        <v>6016</v>
      </c>
      <c r="M6" s="9">
        <v>0.41</v>
      </c>
      <c r="N6" s="9">
        <v>26.39</v>
      </c>
      <c r="O6" s="9">
        <v>77.8</v>
      </c>
    </row>
    <row r="7" spans="1:15" ht="15.6" hidden="1" x14ac:dyDescent="0.3">
      <c r="A7" s="9" t="s">
        <v>151</v>
      </c>
      <c r="B7" s="9" t="s">
        <v>388</v>
      </c>
      <c r="C7" s="21" t="s">
        <v>72</v>
      </c>
      <c r="D7" s="9"/>
      <c r="E7" s="9"/>
      <c r="F7" s="9" t="s">
        <v>219</v>
      </c>
      <c r="G7" s="9"/>
      <c r="H7" s="22"/>
      <c r="I7" s="22"/>
      <c r="J7" s="22"/>
      <c r="K7" s="22"/>
      <c r="L7" s="9"/>
      <c r="M7" s="9">
        <v>0</v>
      </c>
      <c r="O7" s="9">
        <v>76.900000000000006</v>
      </c>
    </row>
    <row r="8" spans="1:15" ht="15.6" x14ac:dyDescent="0.3">
      <c r="A8" s="9" t="s">
        <v>19</v>
      </c>
      <c r="B8" s="9" t="s">
        <v>87</v>
      </c>
      <c r="C8" s="21" t="s">
        <v>86</v>
      </c>
      <c r="D8" s="9" t="s">
        <v>201</v>
      </c>
      <c r="E8" s="9">
        <v>184</v>
      </c>
      <c r="F8" s="9" t="s">
        <v>286</v>
      </c>
      <c r="G8" s="9" t="s">
        <v>135</v>
      </c>
      <c r="H8" s="22" t="s">
        <v>359</v>
      </c>
      <c r="I8" s="22" t="s">
        <v>361</v>
      </c>
      <c r="J8" s="22" t="s">
        <v>362</v>
      </c>
      <c r="K8" s="22" t="s">
        <v>360</v>
      </c>
      <c r="L8" s="9">
        <v>73529</v>
      </c>
      <c r="M8" s="9">
        <v>6.02</v>
      </c>
      <c r="N8" s="9">
        <v>33.5</v>
      </c>
      <c r="O8" s="9">
        <v>75.400000000000006</v>
      </c>
    </row>
    <row r="9" spans="1:15" ht="15.6" hidden="1" x14ac:dyDescent="0.3">
      <c r="A9" s="9" t="s">
        <v>35</v>
      </c>
      <c r="B9" s="9" t="s">
        <v>121</v>
      </c>
      <c r="C9" s="21" t="s">
        <v>72</v>
      </c>
      <c r="D9" s="9"/>
      <c r="E9" s="9"/>
      <c r="F9" s="9" t="s">
        <v>219</v>
      </c>
      <c r="G9" s="9"/>
      <c r="H9" s="22"/>
      <c r="I9" s="22"/>
      <c r="J9" s="22"/>
      <c r="K9" s="22"/>
      <c r="L9" s="9"/>
      <c r="M9" s="9">
        <v>0</v>
      </c>
      <c r="O9" s="9">
        <v>73.8</v>
      </c>
    </row>
    <row r="10" spans="1:15" ht="15.6" x14ac:dyDescent="0.3">
      <c r="A10" s="9" t="s">
        <v>22</v>
      </c>
      <c r="B10" s="9" t="s">
        <v>104</v>
      </c>
      <c r="C10" s="21" t="s">
        <v>103</v>
      </c>
      <c r="D10" s="9" t="s">
        <v>201</v>
      </c>
      <c r="E10" s="9">
        <v>151</v>
      </c>
      <c r="F10" s="9" t="s">
        <v>237</v>
      </c>
      <c r="G10" s="9" t="s">
        <v>235</v>
      </c>
      <c r="H10" s="22" t="s">
        <v>297</v>
      </c>
      <c r="I10" s="22" t="s">
        <v>405</v>
      </c>
      <c r="J10" s="22" t="s">
        <v>406</v>
      </c>
      <c r="K10" s="22" t="s">
        <v>407</v>
      </c>
      <c r="L10" s="9">
        <v>12725</v>
      </c>
      <c r="M10" s="9">
        <v>4.6399999999999997</v>
      </c>
      <c r="N10" s="9">
        <v>7.35</v>
      </c>
      <c r="O10" s="9">
        <v>73.8</v>
      </c>
    </row>
    <row r="11" spans="1:15" ht="15.6" x14ac:dyDescent="0.3">
      <c r="A11" s="9" t="s">
        <v>7</v>
      </c>
      <c r="B11" s="9" t="s">
        <v>68</v>
      </c>
      <c r="C11" s="21" t="s">
        <v>67</v>
      </c>
      <c r="D11" s="9" t="s">
        <v>201</v>
      </c>
      <c r="E11" s="9">
        <v>146</v>
      </c>
      <c r="F11" s="9" t="s">
        <v>229</v>
      </c>
      <c r="G11" s="9" t="s">
        <v>135</v>
      </c>
      <c r="H11" s="22" t="s">
        <v>369</v>
      </c>
      <c r="I11" s="22" t="s">
        <v>231</v>
      </c>
      <c r="J11" s="22" t="s">
        <v>232</v>
      </c>
      <c r="K11" s="22" t="s">
        <v>230</v>
      </c>
      <c r="L11" s="9">
        <v>34697</v>
      </c>
      <c r="M11" s="9">
        <v>9.61</v>
      </c>
      <c r="N11" s="9">
        <v>9.9</v>
      </c>
      <c r="O11" s="9">
        <v>73.5</v>
      </c>
    </row>
    <row r="12" spans="1:15" ht="15.6" x14ac:dyDescent="0.3">
      <c r="A12" s="9" t="s">
        <v>14</v>
      </c>
      <c r="B12" s="9" t="s">
        <v>114</v>
      </c>
      <c r="C12" s="21" t="s">
        <v>113</v>
      </c>
      <c r="D12" s="9" t="s">
        <v>203</v>
      </c>
      <c r="E12" s="9">
        <v>110</v>
      </c>
      <c r="F12" s="9" t="s">
        <v>226</v>
      </c>
      <c r="G12" s="9" t="s">
        <v>135</v>
      </c>
      <c r="H12" s="22" t="s">
        <v>301</v>
      </c>
      <c r="I12" s="22" t="s">
        <v>408</v>
      </c>
      <c r="J12" s="22" t="s">
        <v>409</v>
      </c>
      <c r="K12" s="22" t="s">
        <v>302</v>
      </c>
      <c r="L12" s="9">
        <v>44624</v>
      </c>
      <c r="M12" s="9">
        <v>3.55</v>
      </c>
      <c r="N12" s="9">
        <v>33.367999999999995</v>
      </c>
      <c r="O12" s="9">
        <v>73.2</v>
      </c>
    </row>
    <row r="13" spans="1:15" ht="15.6" x14ac:dyDescent="0.3">
      <c r="A13" s="9" t="s">
        <v>129</v>
      </c>
      <c r="B13" s="9" t="s">
        <v>131</v>
      </c>
      <c r="C13" s="21" t="s">
        <v>130</v>
      </c>
      <c r="D13" s="9" t="s">
        <v>201</v>
      </c>
      <c r="E13" s="9">
        <v>47</v>
      </c>
      <c r="F13" s="9" t="s">
        <v>286</v>
      </c>
      <c r="G13" s="9" t="s">
        <v>135</v>
      </c>
      <c r="H13" s="22" t="s">
        <v>363</v>
      </c>
      <c r="I13" s="22" t="s">
        <v>261</v>
      </c>
      <c r="J13" s="22" t="s">
        <v>262</v>
      </c>
      <c r="K13" s="22" t="s">
        <v>364</v>
      </c>
      <c r="L13" s="9">
        <v>10247</v>
      </c>
      <c r="M13" s="9">
        <v>5.07</v>
      </c>
      <c r="N13" s="9">
        <v>5.4450000000000003</v>
      </c>
      <c r="O13" s="9">
        <v>72.599999999999994</v>
      </c>
    </row>
    <row r="14" spans="1:15" ht="15.6" hidden="1" x14ac:dyDescent="0.3">
      <c r="A14" s="9" t="s">
        <v>30</v>
      </c>
      <c r="B14" s="9" t="s">
        <v>116</v>
      </c>
      <c r="C14" s="21" t="s">
        <v>72</v>
      </c>
      <c r="D14" s="9"/>
      <c r="E14" s="9"/>
      <c r="F14" s="9" t="s">
        <v>219</v>
      </c>
      <c r="G14" s="9"/>
      <c r="H14" s="22"/>
      <c r="I14" s="22"/>
      <c r="J14" s="22"/>
      <c r="K14" s="22"/>
      <c r="L14" s="9"/>
      <c r="M14" s="9">
        <v>0</v>
      </c>
      <c r="O14" s="9">
        <v>72.099999999999994</v>
      </c>
    </row>
    <row r="15" spans="1:15" ht="15.6" x14ac:dyDescent="0.3">
      <c r="A15" s="9" t="s">
        <v>124</v>
      </c>
      <c r="B15" s="9" t="s">
        <v>85</v>
      </c>
      <c r="C15" s="21" t="s">
        <v>84</v>
      </c>
      <c r="D15" s="9" t="s">
        <v>201</v>
      </c>
      <c r="E15" s="9">
        <v>189</v>
      </c>
      <c r="F15" s="9" t="s">
        <v>229</v>
      </c>
      <c r="G15" s="9" t="s">
        <v>235</v>
      </c>
      <c r="H15" s="22" t="s">
        <v>370</v>
      </c>
      <c r="I15" s="22" t="s">
        <v>253</v>
      </c>
      <c r="J15" s="22" t="s">
        <v>372</v>
      </c>
      <c r="K15" s="22" t="s">
        <v>371</v>
      </c>
      <c r="L15" s="9">
        <v>55616</v>
      </c>
      <c r="M15" s="9">
        <v>5.41</v>
      </c>
      <c r="N15" s="9">
        <v>27.917999999999999</v>
      </c>
      <c r="O15" s="9">
        <v>71.5</v>
      </c>
    </row>
    <row r="16" spans="1:15" ht="15.6" x14ac:dyDescent="0.3">
      <c r="A16" s="9" t="s">
        <v>0</v>
      </c>
      <c r="B16" s="9" t="s">
        <v>79</v>
      </c>
      <c r="C16" s="21" t="s">
        <v>78</v>
      </c>
      <c r="D16" s="9" t="s">
        <v>203</v>
      </c>
      <c r="E16" s="9">
        <v>121</v>
      </c>
      <c r="F16" s="9" t="s">
        <v>226</v>
      </c>
      <c r="G16" s="9" t="s">
        <v>135</v>
      </c>
      <c r="H16" s="22" t="s">
        <v>334</v>
      </c>
      <c r="I16" s="22" t="s">
        <v>245</v>
      </c>
      <c r="J16" s="22" t="s">
        <v>246</v>
      </c>
      <c r="K16" s="22" t="s">
        <v>239</v>
      </c>
      <c r="L16" s="9">
        <v>8100</v>
      </c>
      <c r="M16" s="9">
        <v>0.16</v>
      </c>
      <c r="N16" s="9">
        <v>54</v>
      </c>
      <c r="O16" s="9">
        <v>71.3</v>
      </c>
    </row>
    <row r="17" spans="1:15" ht="15.6" x14ac:dyDescent="0.3">
      <c r="A17" s="9" t="s">
        <v>3</v>
      </c>
      <c r="B17" s="9" t="s">
        <v>110</v>
      </c>
      <c r="C17" s="21" t="s">
        <v>109</v>
      </c>
      <c r="D17" s="9" t="s">
        <v>203</v>
      </c>
      <c r="E17" s="9">
        <v>80</v>
      </c>
      <c r="F17" s="9" t="s">
        <v>229</v>
      </c>
      <c r="G17" s="9" t="s">
        <v>135</v>
      </c>
      <c r="H17" s="22" t="s">
        <v>299</v>
      </c>
      <c r="I17" s="22" t="s">
        <v>410</v>
      </c>
      <c r="J17" s="22" t="s">
        <v>411</v>
      </c>
      <c r="K17" s="22" t="s">
        <v>300</v>
      </c>
      <c r="L17" s="9">
        <v>6770</v>
      </c>
      <c r="M17" s="9">
        <v>5.86</v>
      </c>
      <c r="N17" s="9">
        <v>3.1680000000000001</v>
      </c>
      <c r="O17" s="9">
        <v>70.5</v>
      </c>
    </row>
    <row r="18" spans="1:15" ht="15.6" x14ac:dyDescent="0.3">
      <c r="A18" s="9" t="s">
        <v>12</v>
      </c>
      <c r="B18" s="9" t="s">
        <v>68</v>
      </c>
      <c r="C18" s="21" t="s">
        <v>102</v>
      </c>
      <c r="D18" s="9" t="s">
        <v>201</v>
      </c>
      <c r="E18" s="9">
        <v>92</v>
      </c>
      <c r="F18" s="9" t="s">
        <v>237</v>
      </c>
      <c r="G18" s="9" t="s">
        <v>135</v>
      </c>
      <c r="H18" s="22" t="s">
        <v>295</v>
      </c>
      <c r="I18" s="22" t="s">
        <v>412</v>
      </c>
      <c r="J18" s="22" t="s">
        <v>413</v>
      </c>
      <c r="K18" s="22" t="s">
        <v>296</v>
      </c>
      <c r="L18" s="9">
        <v>22121</v>
      </c>
      <c r="M18" s="9">
        <v>9.7200000000000006</v>
      </c>
      <c r="N18" s="9">
        <v>6.2</v>
      </c>
      <c r="O18" s="9">
        <v>68.8</v>
      </c>
    </row>
    <row r="19" spans="1:15" ht="15.6" x14ac:dyDescent="0.3">
      <c r="A19" s="9" t="s">
        <v>126</v>
      </c>
      <c r="B19" s="9" t="s">
        <v>64</v>
      </c>
      <c r="C19" s="21" t="s">
        <v>105</v>
      </c>
      <c r="D19" s="9" t="s">
        <v>203</v>
      </c>
      <c r="E19" s="9">
        <v>163</v>
      </c>
      <c r="F19" s="9" t="s">
        <v>226</v>
      </c>
      <c r="G19" s="9" t="s">
        <v>135</v>
      </c>
      <c r="H19" s="22" t="s">
        <v>330</v>
      </c>
      <c r="I19" s="22" t="s">
        <v>414</v>
      </c>
      <c r="J19" s="22" t="s">
        <v>415</v>
      </c>
      <c r="K19" s="22" t="s">
        <v>338</v>
      </c>
      <c r="L19" s="9">
        <v>30738</v>
      </c>
      <c r="M19" s="9">
        <v>1.37</v>
      </c>
      <c r="N19" s="9">
        <v>54.207999999999998</v>
      </c>
      <c r="O19" s="9">
        <v>67.8</v>
      </c>
    </row>
    <row r="20" spans="1:15" ht="15.6" x14ac:dyDescent="0.3">
      <c r="A20" s="9" t="s">
        <v>20</v>
      </c>
      <c r="B20" s="9" t="s">
        <v>83</v>
      </c>
      <c r="C20" s="21" t="s">
        <v>90</v>
      </c>
      <c r="D20" s="9" t="s">
        <v>201</v>
      </c>
      <c r="E20" s="9">
        <v>152</v>
      </c>
      <c r="F20" s="9" t="s">
        <v>237</v>
      </c>
      <c r="G20" s="9" t="s">
        <v>135</v>
      </c>
      <c r="H20" s="22" t="s">
        <v>257</v>
      </c>
      <c r="I20" s="22" t="s">
        <v>259</v>
      </c>
      <c r="J20" s="22" t="s">
        <v>260</v>
      </c>
      <c r="K20" s="22" t="s">
        <v>258</v>
      </c>
      <c r="L20" s="9">
        <v>37839</v>
      </c>
      <c r="M20" s="9">
        <v>1.78</v>
      </c>
      <c r="N20" s="9">
        <v>51.216000000000001</v>
      </c>
      <c r="O20" s="9">
        <v>65.599999999999994</v>
      </c>
    </row>
    <row r="21" spans="1:15" ht="15.6" x14ac:dyDescent="0.3">
      <c r="A21" s="9" t="s">
        <v>13</v>
      </c>
      <c r="B21" s="9" t="s">
        <v>112</v>
      </c>
      <c r="C21" s="21" t="s">
        <v>111</v>
      </c>
      <c r="D21" s="9" t="s">
        <v>203</v>
      </c>
      <c r="E21" s="9">
        <v>137</v>
      </c>
      <c r="F21" s="9" t="s">
        <v>226</v>
      </c>
      <c r="G21" s="9" t="s">
        <v>135</v>
      </c>
      <c r="H21" s="22" t="s">
        <v>331</v>
      </c>
      <c r="I21" s="22" t="s">
        <v>416</v>
      </c>
      <c r="J21" s="22" t="s">
        <v>350</v>
      </c>
      <c r="K21" s="22" t="s">
        <v>337</v>
      </c>
      <c r="L21" s="9">
        <v>19992</v>
      </c>
      <c r="M21" s="9">
        <v>2.36</v>
      </c>
      <c r="N21" s="9">
        <v>21.808</v>
      </c>
      <c r="O21" s="9">
        <v>65.400000000000006</v>
      </c>
    </row>
    <row r="22" spans="1:15" ht="15.6" x14ac:dyDescent="0.3">
      <c r="A22" s="9" t="s">
        <v>5</v>
      </c>
      <c r="B22" s="9" t="s">
        <v>99</v>
      </c>
      <c r="C22" s="21" t="s">
        <v>98</v>
      </c>
      <c r="D22" s="9" t="s">
        <v>201</v>
      </c>
      <c r="E22" s="9">
        <v>83</v>
      </c>
      <c r="F22" s="9" t="s">
        <v>237</v>
      </c>
      <c r="G22" s="9" t="s">
        <v>135</v>
      </c>
      <c r="H22" s="22" t="s">
        <v>292</v>
      </c>
      <c r="I22" s="22" t="s">
        <v>417</v>
      </c>
      <c r="J22" s="22" t="s">
        <v>418</v>
      </c>
      <c r="K22" s="22" t="s">
        <v>293</v>
      </c>
      <c r="L22" s="9">
        <v>59888</v>
      </c>
      <c r="M22" s="9">
        <v>6.58</v>
      </c>
      <c r="N22" s="9">
        <v>25</v>
      </c>
      <c r="O22" s="9">
        <v>64.400000000000006</v>
      </c>
    </row>
    <row r="23" spans="1:15" ht="15.6" x14ac:dyDescent="0.3">
      <c r="A23" s="9" t="s">
        <v>23</v>
      </c>
      <c r="B23" s="9" t="s">
        <v>63</v>
      </c>
      <c r="C23" s="21" t="s">
        <v>108</v>
      </c>
      <c r="D23" s="9" t="s">
        <v>201</v>
      </c>
      <c r="E23" s="9">
        <v>29</v>
      </c>
      <c r="F23" s="9" t="s">
        <v>229</v>
      </c>
      <c r="G23" s="9" t="s">
        <v>235</v>
      </c>
      <c r="H23" s="22" t="s">
        <v>373</v>
      </c>
      <c r="I23" s="22" t="s">
        <v>419</v>
      </c>
      <c r="J23" s="22" t="s">
        <v>420</v>
      </c>
      <c r="K23" s="22" t="s">
        <v>374</v>
      </c>
      <c r="L23" s="9">
        <v>755</v>
      </c>
      <c r="M23" s="9">
        <v>0.22</v>
      </c>
      <c r="N23" s="9">
        <v>5.28</v>
      </c>
      <c r="O23" s="9">
        <v>64.099999999999994</v>
      </c>
    </row>
    <row r="24" spans="1:15" ht="15.6" hidden="1" x14ac:dyDescent="0.3">
      <c r="A24" s="9" t="s">
        <v>34</v>
      </c>
      <c r="B24" s="9" t="s">
        <v>118</v>
      </c>
      <c r="C24" s="21" t="s">
        <v>72</v>
      </c>
      <c r="D24" s="9"/>
      <c r="E24" s="9"/>
      <c r="F24" s="9" t="s">
        <v>219</v>
      </c>
      <c r="G24" s="9"/>
      <c r="H24" s="22"/>
      <c r="I24" s="22"/>
      <c r="J24" s="22"/>
      <c r="K24" s="22"/>
      <c r="L24" s="9"/>
      <c r="M24" s="9">
        <v>0</v>
      </c>
      <c r="O24" s="9">
        <v>63.5</v>
      </c>
    </row>
    <row r="25" spans="1:15" ht="15.6" x14ac:dyDescent="0.3">
      <c r="A25" s="9" t="s">
        <v>21</v>
      </c>
      <c r="B25" s="9" t="s">
        <v>92</v>
      </c>
      <c r="C25" s="21" t="s">
        <v>91</v>
      </c>
      <c r="D25" s="9" t="s">
        <v>201</v>
      </c>
      <c r="E25" s="9">
        <v>442</v>
      </c>
      <c r="F25" s="9" t="s">
        <v>226</v>
      </c>
      <c r="G25" s="9" t="s">
        <v>235</v>
      </c>
      <c r="H25" s="22" t="s">
        <v>332</v>
      </c>
      <c r="I25" s="22" t="s">
        <v>263</v>
      </c>
      <c r="J25" s="22" t="s">
        <v>343</v>
      </c>
      <c r="K25" s="22" t="s">
        <v>336</v>
      </c>
      <c r="L25" s="9">
        <v>204829</v>
      </c>
      <c r="M25" s="9">
        <v>11.04</v>
      </c>
      <c r="N25" s="9">
        <v>50.8</v>
      </c>
      <c r="O25" s="9">
        <v>62.4</v>
      </c>
    </row>
    <row r="26" spans="1:15" ht="15.6" hidden="1" x14ac:dyDescent="0.3">
      <c r="A26" s="9" t="s">
        <v>29</v>
      </c>
      <c r="B26" s="9" t="s">
        <v>117</v>
      </c>
      <c r="C26" s="21" t="s">
        <v>72</v>
      </c>
      <c r="D26" s="9"/>
      <c r="E26" s="9"/>
      <c r="F26" s="9" t="s">
        <v>219</v>
      </c>
      <c r="G26" s="9"/>
      <c r="H26" s="22"/>
      <c r="I26" s="22"/>
      <c r="J26" s="22"/>
      <c r="K26" s="22"/>
      <c r="L26" s="9"/>
      <c r="M26" s="9">
        <v>0</v>
      </c>
      <c r="O26" s="9">
        <v>61.3</v>
      </c>
    </row>
    <row r="27" spans="1:15" ht="15.6" x14ac:dyDescent="0.3">
      <c r="A27" s="9" t="s">
        <v>18</v>
      </c>
      <c r="B27" s="9" t="s">
        <v>81</v>
      </c>
      <c r="C27" s="21" t="s">
        <v>80</v>
      </c>
      <c r="D27" s="9" t="s">
        <v>201</v>
      </c>
      <c r="E27" s="9">
        <v>295</v>
      </c>
      <c r="F27" s="9" t="s">
        <v>237</v>
      </c>
      <c r="G27" s="9" t="s">
        <v>135</v>
      </c>
      <c r="H27" s="22" t="s">
        <v>247</v>
      </c>
      <c r="I27" s="22" t="s">
        <v>249</v>
      </c>
      <c r="J27" s="22" t="s">
        <v>250</v>
      </c>
      <c r="K27" s="22" t="s">
        <v>248</v>
      </c>
      <c r="L27" s="9">
        <v>59926</v>
      </c>
      <c r="M27" s="9">
        <v>5.92</v>
      </c>
      <c r="N27" s="9">
        <v>27.422999999999998</v>
      </c>
      <c r="O27" s="9">
        <v>60.6</v>
      </c>
    </row>
    <row r="28" spans="1:15" ht="15.6" x14ac:dyDescent="0.3">
      <c r="A28" s="9" t="s">
        <v>15</v>
      </c>
      <c r="B28" s="9" t="s">
        <v>65</v>
      </c>
      <c r="C28" s="21" t="s">
        <v>66</v>
      </c>
      <c r="D28" s="9" t="s">
        <v>201</v>
      </c>
      <c r="E28" s="9">
        <v>4</v>
      </c>
      <c r="F28" s="9" t="s">
        <v>226</v>
      </c>
      <c r="G28" s="9" t="s">
        <v>135</v>
      </c>
      <c r="H28" s="22" t="s">
        <v>333</v>
      </c>
      <c r="I28" s="22" t="s">
        <v>342</v>
      </c>
      <c r="J28" s="22" t="s">
        <v>228</v>
      </c>
      <c r="K28" s="22" t="s">
        <v>227</v>
      </c>
      <c r="L28" s="9">
        <v>3176</v>
      </c>
      <c r="M28" s="9">
        <v>11.14</v>
      </c>
      <c r="N28" s="9">
        <v>0.8</v>
      </c>
      <c r="O28" s="9">
        <v>59.6</v>
      </c>
    </row>
    <row r="29" spans="1:15" ht="15.6" hidden="1" x14ac:dyDescent="0.3">
      <c r="A29" s="9" t="s">
        <v>31</v>
      </c>
      <c r="B29" s="9" t="s">
        <v>120</v>
      </c>
      <c r="C29" s="21" t="s">
        <v>72</v>
      </c>
      <c r="D29" s="9"/>
      <c r="E29" s="9"/>
      <c r="F29" s="9" t="s">
        <v>219</v>
      </c>
      <c r="G29" s="9"/>
      <c r="H29" s="22"/>
      <c r="I29" s="22"/>
      <c r="J29" s="22"/>
      <c r="K29" s="22"/>
      <c r="L29" s="9"/>
      <c r="M29" s="9">
        <v>0</v>
      </c>
      <c r="O29" s="9">
        <v>59.4</v>
      </c>
    </row>
    <row r="30" spans="1:15" ht="15.6" hidden="1" x14ac:dyDescent="0.3">
      <c r="A30" s="9" t="s">
        <v>36</v>
      </c>
      <c r="B30" s="9" t="s">
        <v>119</v>
      </c>
      <c r="C30" s="21" t="s">
        <v>72</v>
      </c>
      <c r="D30" s="9"/>
      <c r="E30" s="9"/>
      <c r="F30" s="9" t="s">
        <v>219</v>
      </c>
      <c r="G30" s="9"/>
      <c r="H30" s="22"/>
      <c r="I30" s="22"/>
      <c r="J30" s="22"/>
      <c r="K30" s="22"/>
      <c r="L30" s="9"/>
      <c r="M30" s="9">
        <v>0</v>
      </c>
      <c r="O30" s="9">
        <v>59.2</v>
      </c>
    </row>
    <row r="31" spans="1:15" ht="15.6" hidden="1" x14ac:dyDescent="0.3">
      <c r="A31" s="9" t="s">
        <v>150</v>
      </c>
      <c r="B31" s="9" t="s">
        <v>387</v>
      </c>
      <c r="C31" s="21" t="s">
        <v>72</v>
      </c>
      <c r="D31" s="9"/>
      <c r="E31" s="9"/>
      <c r="F31" s="9" t="s">
        <v>219</v>
      </c>
      <c r="G31" s="9"/>
      <c r="H31" s="22"/>
      <c r="I31" s="22"/>
      <c r="J31" s="22"/>
      <c r="K31" s="22"/>
      <c r="L31" s="9"/>
      <c r="M31" s="9">
        <v>0</v>
      </c>
      <c r="O31" s="9">
        <v>57.1</v>
      </c>
    </row>
    <row r="32" spans="1:15" ht="15.6" x14ac:dyDescent="0.3">
      <c r="A32" s="9" t="s">
        <v>4</v>
      </c>
      <c r="B32" s="9" t="s">
        <v>96</v>
      </c>
      <c r="C32" s="21" t="s">
        <v>95</v>
      </c>
      <c r="D32" s="9" t="s">
        <v>201</v>
      </c>
      <c r="E32" s="9">
        <v>82</v>
      </c>
      <c r="F32" s="9" t="s">
        <v>237</v>
      </c>
      <c r="G32" s="9" t="s">
        <v>235</v>
      </c>
      <c r="H32" s="22" t="s">
        <v>267</v>
      </c>
      <c r="I32" s="22" t="s">
        <v>269</v>
      </c>
      <c r="J32" s="22" t="s">
        <v>386</v>
      </c>
      <c r="K32" s="22" t="s">
        <v>268</v>
      </c>
      <c r="L32" s="9">
        <v>34182</v>
      </c>
      <c r="M32" s="9">
        <v>5.39</v>
      </c>
      <c r="N32" s="9">
        <v>17.225999999999999</v>
      </c>
      <c r="O32" s="9">
        <v>56</v>
      </c>
    </row>
    <row r="33" spans="1:15" ht="15.6" hidden="1" x14ac:dyDescent="0.3">
      <c r="A33" s="9" t="s">
        <v>33</v>
      </c>
      <c r="B33" s="9" t="s">
        <v>123</v>
      </c>
      <c r="C33" s="21" t="s">
        <v>72</v>
      </c>
      <c r="D33" s="9"/>
      <c r="E33" s="9"/>
      <c r="F33" s="9" t="s">
        <v>219</v>
      </c>
      <c r="G33" s="9"/>
      <c r="H33" s="22"/>
      <c r="I33" s="22"/>
      <c r="J33" s="22"/>
      <c r="K33" s="22"/>
      <c r="L33" s="9"/>
      <c r="M33" s="9">
        <v>0</v>
      </c>
      <c r="O33" s="9">
        <v>53.1</v>
      </c>
    </row>
    <row r="34" spans="1:15" ht="15.6" x14ac:dyDescent="0.3">
      <c r="A34" s="9" t="s">
        <v>6</v>
      </c>
      <c r="B34" s="9" t="s">
        <v>75</v>
      </c>
      <c r="C34" s="21" t="s">
        <v>74</v>
      </c>
      <c r="D34" s="9" t="s">
        <v>203</v>
      </c>
      <c r="E34" s="9">
        <v>88</v>
      </c>
      <c r="F34" s="9" t="s">
        <v>226</v>
      </c>
      <c r="G34" s="9" t="s">
        <v>135</v>
      </c>
      <c r="H34" s="22" t="s">
        <v>335</v>
      </c>
      <c r="I34" s="22" t="s">
        <v>240</v>
      </c>
      <c r="J34" s="22" t="s">
        <v>241</v>
      </c>
      <c r="K34" s="22" t="s">
        <v>239</v>
      </c>
      <c r="L34" s="9">
        <v>5269</v>
      </c>
      <c r="M34" s="9">
        <v>0.96</v>
      </c>
      <c r="N34" s="9">
        <v>11.778</v>
      </c>
      <c r="O34" s="9">
        <v>52.3</v>
      </c>
    </row>
    <row r="35" spans="1:15" ht="15.6" x14ac:dyDescent="0.3">
      <c r="A35" s="9" t="s">
        <v>1</v>
      </c>
      <c r="B35" s="9" t="s">
        <v>64</v>
      </c>
      <c r="C35" s="21" t="s">
        <v>97</v>
      </c>
      <c r="D35" s="9" t="s">
        <v>201</v>
      </c>
      <c r="E35" s="9">
        <v>12</v>
      </c>
      <c r="F35" s="9" t="s">
        <v>286</v>
      </c>
      <c r="G35" s="9" t="s">
        <v>135</v>
      </c>
      <c r="H35" s="22" t="s">
        <v>353</v>
      </c>
      <c r="I35" s="22" t="s">
        <v>270</v>
      </c>
      <c r="J35" s="22" t="s">
        <v>354</v>
      </c>
      <c r="K35" s="22" t="s">
        <v>358</v>
      </c>
      <c r="L35" s="9">
        <v>2308</v>
      </c>
      <c r="M35" s="9">
        <v>1.23</v>
      </c>
      <c r="N35" s="9">
        <v>4.4879999999999995</v>
      </c>
      <c r="O35" s="9">
        <v>49.9</v>
      </c>
    </row>
    <row r="36" spans="1:15" ht="15.6" x14ac:dyDescent="0.3">
      <c r="A36" s="9" t="s">
        <v>9</v>
      </c>
      <c r="B36" s="9" t="s">
        <v>89</v>
      </c>
      <c r="C36" s="21" t="s">
        <v>88</v>
      </c>
      <c r="D36" s="9" t="s">
        <v>366</v>
      </c>
      <c r="E36" s="9">
        <v>143</v>
      </c>
      <c r="F36" s="9" t="s">
        <v>226</v>
      </c>
      <c r="G36" s="9" t="s">
        <v>135</v>
      </c>
      <c r="H36" s="22" t="s">
        <v>365</v>
      </c>
      <c r="I36" s="22" t="s">
        <v>255</v>
      </c>
      <c r="J36" s="22" t="s">
        <v>256</v>
      </c>
      <c r="K36" s="22" t="s">
        <v>254</v>
      </c>
      <c r="L36" s="9">
        <v>42057</v>
      </c>
      <c r="M36" s="9">
        <v>10.210000000000001</v>
      </c>
      <c r="N36" s="9">
        <v>11.3</v>
      </c>
      <c r="O36" s="9">
        <v>48.8</v>
      </c>
    </row>
    <row r="37" spans="1:15" ht="15.6" x14ac:dyDescent="0.3">
      <c r="A37" s="9" t="s">
        <v>127</v>
      </c>
      <c r="B37" s="9" t="s">
        <v>107</v>
      </c>
      <c r="C37" s="21" t="s">
        <v>106</v>
      </c>
      <c r="D37" s="9" t="s">
        <v>201</v>
      </c>
      <c r="E37" s="9">
        <v>24</v>
      </c>
      <c r="F37" s="9" t="s">
        <v>286</v>
      </c>
      <c r="G37" s="9" t="s">
        <v>135</v>
      </c>
      <c r="H37" s="22" t="s">
        <v>355</v>
      </c>
      <c r="I37" s="22" t="s">
        <v>421</v>
      </c>
      <c r="J37" s="22" t="s">
        <v>422</v>
      </c>
      <c r="K37" s="22" t="s">
        <v>298</v>
      </c>
      <c r="L37" s="9">
        <v>9350</v>
      </c>
      <c r="M37" s="9">
        <v>6.12</v>
      </c>
      <c r="N37" s="9">
        <v>4.2</v>
      </c>
      <c r="O37" s="9">
        <v>45.5</v>
      </c>
    </row>
    <row r="38" spans="1:15" ht="15.6" x14ac:dyDescent="0.3">
      <c r="A38" s="9" t="s">
        <v>11</v>
      </c>
      <c r="B38" s="9" t="s">
        <v>101</v>
      </c>
      <c r="C38" s="21" t="s">
        <v>100</v>
      </c>
      <c r="D38" s="9" t="s">
        <v>367</v>
      </c>
      <c r="E38" s="9">
        <v>150</v>
      </c>
      <c r="F38" s="9" t="s">
        <v>226</v>
      </c>
      <c r="G38" s="9" t="s">
        <v>235</v>
      </c>
      <c r="H38" s="22" t="s">
        <v>368</v>
      </c>
      <c r="I38" s="22" t="s">
        <v>423</v>
      </c>
      <c r="J38" s="22" t="s">
        <v>424</v>
      </c>
      <c r="K38" s="22" t="s">
        <v>294</v>
      </c>
      <c r="L38" s="9">
        <v>76568</v>
      </c>
      <c r="M38" s="9">
        <v>8.16</v>
      </c>
      <c r="N38" s="9">
        <v>25.7</v>
      </c>
      <c r="O38" s="9">
        <v>45.4</v>
      </c>
    </row>
    <row r="39" spans="1:15" ht="15.6" hidden="1" x14ac:dyDescent="0.3">
      <c r="A39" s="9" t="s">
        <v>28</v>
      </c>
      <c r="B39" s="9" t="s">
        <v>122</v>
      </c>
      <c r="C39" s="21" t="s">
        <v>72</v>
      </c>
      <c r="D39" s="9"/>
      <c r="E39" s="9"/>
      <c r="F39" s="9" t="s">
        <v>219</v>
      </c>
      <c r="G39" s="9"/>
      <c r="H39" s="22"/>
      <c r="I39" s="22"/>
      <c r="J39" s="22"/>
      <c r="K39" s="22"/>
      <c r="L39" s="9"/>
      <c r="M39" s="9">
        <v>0</v>
      </c>
      <c r="O39" s="9">
        <v>42.3</v>
      </c>
    </row>
    <row r="40" spans="1:15" ht="15.6" x14ac:dyDescent="0.3">
      <c r="A40" s="9" t="s">
        <v>10</v>
      </c>
      <c r="B40" s="9" t="s">
        <v>94</v>
      </c>
      <c r="C40" s="21" t="s">
        <v>93</v>
      </c>
      <c r="D40" s="9" t="s">
        <v>201</v>
      </c>
      <c r="E40" s="9">
        <v>144</v>
      </c>
      <c r="F40" s="9" t="s">
        <v>229</v>
      </c>
      <c r="G40" s="9" t="s">
        <v>135</v>
      </c>
      <c r="H40" s="22" t="s">
        <v>376</v>
      </c>
      <c r="I40" s="22" t="s">
        <v>265</v>
      </c>
      <c r="J40" s="22" t="s">
        <v>266</v>
      </c>
      <c r="K40" s="22" t="s">
        <v>264</v>
      </c>
      <c r="L40" s="9">
        <v>40283</v>
      </c>
      <c r="M40" s="9">
        <v>9.18</v>
      </c>
      <c r="N40" s="9">
        <v>12</v>
      </c>
      <c r="O40" s="9">
        <v>42.3</v>
      </c>
    </row>
    <row r="41" spans="1:15" ht="15.6" x14ac:dyDescent="0.3">
      <c r="A41" s="9" t="s">
        <v>8</v>
      </c>
      <c r="B41" s="9" t="s">
        <v>83</v>
      </c>
      <c r="C41" s="21" t="s">
        <v>82</v>
      </c>
      <c r="D41" s="9" t="s">
        <v>201</v>
      </c>
      <c r="E41" s="9">
        <v>108</v>
      </c>
      <c r="F41" s="9" t="s">
        <v>229</v>
      </c>
      <c r="G41" s="9" t="s">
        <v>235</v>
      </c>
      <c r="H41" s="22" t="s">
        <v>377</v>
      </c>
      <c r="I41" s="22" t="s">
        <v>251</v>
      </c>
      <c r="J41" s="22" t="s">
        <v>252</v>
      </c>
      <c r="K41" s="22" t="s">
        <v>378</v>
      </c>
      <c r="L41" s="9">
        <v>54743</v>
      </c>
      <c r="M41" s="9">
        <v>3.56</v>
      </c>
      <c r="N41" s="9">
        <v>40.837000000000003</v>
      </c>
      <c r="O41" s="9">
        <v>34.1</v>
      </c>
    </row>
    <row r="42" spans="1:15" ht="15.6" hidden="1" x14ac:dyDescent="0.3">
      <c r="A42" s="9" t="s">
        <v>32</v>
      </c>
      <c r="B42" s="9" t="s">
        <v>115</v>
      </c>
      <c r="C42" s="21" t="s">
        <v>72</v>
      </c>
      <c r="D42" s="9"/>
      <c r="E42" s="9"/>
      <c r="F42" s="9" t="s">
        <v>219</v>
      </c>
      <c r="G42" s="9"/>
      <c r="H42" s="22"/>
      <c r="I42" s="22"/>
      <c r="J42" s="22"/>
      <c r="K42" s="22"/>
      <c r="L42" s="9"/>
      <c r="M42" s="9">
        <v>0</v>
      </c>
      <c r="O42" s="9">
        <v>30.2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F8E78-987D-448C-A75F-84ACBDF3674B}">
  <dimension ref="A1:E35"/>
  <sheetViews>
    <sheetView workbookViewId="0">
      <selection activeCell="D43" sqref="D43"/>
    </sheetView>
  </sheetViews>
  <sheetFormatPr defaultRowHeight="14.4" x14ac:dyDescent="0.3"/>
  <cols>
    <col min="1" max="1" width="37.109375" bestFit="1" customWidth="1"/>
    <col min="2" max="2" width="5.44140625" bestFit="1" customWidth="1"/>
    <col min="3" max="4" width="9.33203125" bestFit="1" customWidth="1"/>
    <col min="5" max="5" width="20.88671875" bestFit="1" customWidth="1"/>
  </cols>
  <sheetData>
    <row r="1" spans="1:5" ht="15.6" x14ac:dyDescent="0.3">
      <c r="A1" s="9" t="s">
        <v>61</v>
      </c>
      <c r="B1" s="9" t="s">
        <v>181</v>
      </c>
      <c r="C1" s="9" t="s">
        <v>183</v>
      </c>
      <c r="D1" s="9" t="s">
        <v>184</v>
      </c>
      <c r="E1" s="9" t="s">
        <v>185</v>
      </c>
    </row>
    <row r="2" spans="1:5" ht="15.6" x14ac:dyDescent="0.3">
      <c r="A2" s="9" t="s">
        <v>24</v>
      </c>
      <c r="B2" s="9">
        <v>87.9</v>
      </c>
      <c r="C2" s="9">
        <v>0</v>
      </c>
      <c r="D2" s="9">
        <v>0</v>
      </c>
      <c r="E2" s="9">
        <v>0</v>
      </c>
    </row>
    <row r="3" spans="1:5" ht="15.6" x14ac:dyDescent="0.3">
      <c r="A3" s="9" t="s">
        <v>2</v>
      </c>
      <c r="B3" s="9">
        <v>85.4</v>
      </c>
      <c r="C3" s="9">
        <v>1</v>
      </c>
      <c r="D3" s="9">
        <v>1</v>
      </c>
      <c r="E3" s="9">
        <v>0</v>
      </c>
    </row>
    <row r="4" spans="1:5" ht="15.6" x14ac:dyDescent="0.3">
      <c r="A4" s="9" t="s">
        <v>17</v>
      </c>
      <c r="B4" s="9">
        <v>84.2</v>
      </c>
      <c r="C4" s="9">
        <v>2</v>
      </c>
      <c r="D4" s="9">
        <v>3</v>
      </c>
      <c r="E4" s="9">
        <v>1</v>
      </c>
    </row>
    <row r="5" spans="1:5" ht="15.6" x14ac:dyDescent="0.3">
      <c r="A5" s="9" t="s">
        <v>16</v>
      </c>
      <c r="B5" s="9">
        <v>82.5</v>
      </c>
      <c r="C5" s="9">
        <v>3</v>
      </c>
      <c r="D5" s="9">
        <v>2</v>
      </c>
      <c r="E5" s="9">
        <v>1</v>
      </c>
    </row>
    <row r="6" spans="1:5" ht="15.6" x14ac:dyDescent="0.3">
      <c r="A6" s="9" t="s">
        <v>125</v>
      </c>
      <c r="B6" s="9">
        <v>77.8</v>
      </c>
      <c r="C6" s="9">
        <v>5</v>
      </c>
      <c r="D6" s="9">
        <v>4</v>
      </c>
      <c r="E6" s="9">
        <v>1</v>
      </c>
    </row>
    <row r="7" spans="1:5" ht="15.6" x14ac:dyDescent="0.3">
      <c r="A7" s="9" t="s">
        <v>19</v>
      </c>
      <c r="B7" s="9">
        <v>75.400000000000006</v>
      </c>
      <c r="C7" s="9">
        <v>4</v>
      </c>
      <c r="D7" s="9">
        <v>7</v>
      </c>
      <c r="E7" s="9">
        <v>9</v>
      </c>
    </row>
    <row r="8" spans="1:5" ht="15.6" x14ac:dyDescent="0.3">
      <c r="A8" s="9" t="s">
        <v>22</v>
      </c>
      <c r="B8" s="9">
        <v>73.8</v>
      </c>
      <c r="C8" s="9">
        <v>6</v>
      </c>
      <c r="D8" s="9">
        <v>9</v>
      </c>
      <c r="E8" s="9">
        <v>9</v>
      </c>
    </row>
    <row r="9" spans="1:5" ht="15.6" x14ac:dyDescent="0.3">
      <c r="A9" s="9" t="s">
        <v>7</v>
      </c>
      <c r="B9" s="9">
        <v>73.5</v>
      </c>
      <c r="C9" s="9">
        <v>9</v>
      </c>
      <c r="D9" s="9">
        <v>5</v>
      </c>
      <c r="E9" s="9">
        <v>16</v>
      </c>
    </row>
    <row r="10" spans="1:5" ht="15.6" x14ac:dyDescent="0.3">
      <c r="A10" s="9" t="s">
        <v>14</v>
      </c>
      <c r="B10" s="9">
        <v>73.2</v>
      </c>
      <c r="C10" s="9">
        <v>11</v>
      </c>
      <c r="D10" s="9">
        <v>8</v>
      </c>
      <c r="E10" s="9">
        <v>9</v>
      </c>
    </row>
    <row r="11" spans="1:5" ht="15.6" x14ac:dyDescent="0.3">
      <c r="A11" s="9" t="s">
        <v>129</v>
      </c>
      <c r="B11" s="9">
        <v>72.599999999999994</v>
      </c>
      <c r="C11" s="9">
        <v>12</v>
      </c>
      <c r="D11" s="9">
        <v>6</v>
      </c>
      <c r="E11" s="9">
        <v>36</v>
      </c>
    </row>
    <row r="12" spans="1:5" ht="15.6" x14ac:dyDescent="0.3">
      <c r="A12" s="9" t="s">
        <v>124</v>
      </c>
      <c r="B12" s="9">
        <v>71.5</v>
      </c>
      <c r="C12" s="9">
        <v>7</v>
      </c>
      <c r="D12" s="9">
        <v>15</v>
      </c>
      <c r="E12" s="9">
        <v>64</v>
      </c>
    </row>
    <row r="13" spans="1:5" ht="15.6" x14ac:dyDescent="0.3">
      <c r="A13" s="9" t="s">
        <v>0</v>
      </c>
      <c r="B13" s="9">
        <v>71.3</v>
      </c>
      <c r="C13" s="9">
        <v>8</v>
      </c>
      <c r="D13" s="9">
        <v>12</v>
      </c>
      <c r="E13" s="9">
        <v>16</v>
      </c>
    </row>
    <row r="14" spans="1:5" ht="15.6" x14ac:dyDescent="0.3">
      <c r="A14" s="9" t="s">
        <v>3</v>
      </c>
      <c r="B14" s="9">
        <v>70.5</v>
      </c>
      <c r="C14" s="9">
        <v>10</v>
      </c>
      <c r="D14" s="9">
        <v>11</v>
      </c>
      <c r="E14" s="9">
        <v>1</v>
      </c>
    </row>
    <row r="15" spans="1:5" ht="15.6" x14ac:dyDescent="0.3">
      <c r="A15" s="9" t="s">
        <v>12</v>
      </c>
      <c r="B15" s="9">
        <v>68.8</v>
      </c>
      <c r="C15" s="9">
        <v>15</v>
      </c>
      <c r="D15" s="9">
        <v>10</v>
      </c>
      <c r="E15" s="9">
        <v>25</v>
      </c>
    </row>
    <row r="16" spans="1:5" ht="15.6" x14ac:dyDescent="0.3">
      <c r="A16" s="9" t="s">
        <v>126</v>
      </c>
      <c r="B16" s="9">
        <v>67.8</v>
      </c>
      <c r="C16" s="9">
        <v>16</v>
      </c>
      <c r="D16" s="9">
        <v>13</v>
      </c>
      <c r="E16" s="9">
        <v>9</v>
      </c>
    </row>
    <row r="17" spans="1:5" ht="15.6" x14ac:dyDescent="0.3">
      <c r="A17" s="9" t="s">
        <v>20</v>
      </c>
      <c r="B17" s="9">
        <v>65.599999999999994</v>
      </c>
      <c r="C17" s="9">
        <v>19</v>
      </c>
      <c r="D17" s="9">
        <v>14</v>
      </c>
      <c r="E17" s="9">
        <v>25</v>
      </c>
    </row>
    <row r="18" spans="1:5" ht="15.6" x14ac:dyDescent="0.3">
      <c r="A18" s="9" t="s">
        <v>13</v>
      </c>
      <c r="B18" s="9">
        <v>65.400000000000006</v>
      </c>
      <c r="C18" s="9">
        <v>18</v>
      </c>
      <c r="D18" s="9">
        <v>16</v>
      </c>
      <c r="E18" s="9">
        <v>4</v>
      </c>
    </row>
    <row r="19" spans="1:5" ht="15.6" x14ac:dyDescent="0.3">
      <c r="A19" s="9" t="s">
        <v>5</v>
      </c>
      <c r="B19" s="9">
        <v>64.400000000000006</v>
      </c>
      <c r="C19" s="9">
        <v>14</v>
      </c>
      <c r="D19" s="9">
        <v>18</v>
      </c>
      <c r="E19" s="9">
        <v>16</v>
      </c>
    </row>
    <row r="20" spans="1:5" ht="15.6" x14ac:dyDescent="0.3">
      <c r="A20" s="9" t="s">
        <v>23</v>
      </c>
      <c r="B20" s="9">
        <v>64.099999999999994</v>
      </c>
      <c r="C20" s="9">
        <v>13</v>
      </c>
      <c r="D20" s="9">
        <v>20</v>
      </c>
      <c r="E20" s="9">
        <v>49</v>
      </c>
    </row>
    <row r="21" spans="1:5" ht="15.6" x14ac:dyDescent="0.3">
      <c r="A21" s="9" t="s">
        <v>21</v>
      </c>
      <c r="B21" s="9">
        <v>62.4</v>
      </c>
      <c r="C21" s="9">
        <v>17</v>
      </c>
      <c r="D21" s="9">
        <v>21</v>
      </c>
      <c r="E21" s="9">
        <v>16</v>
      </c>
    </row>
    <row r="22" spans="1:5" ht="15.6" x14ac:dyDescent="0.3">
      <c r="A22" s="9" t="s">
        <v>18</v>
      </c>
      <c r="B22" s="9">
        <v>60.6</v>
      </c>
      <c r="C22" s="9">
        <v>20</v>
      </c>
      <c r="D22" s="9">
        <v>19</v>
      </c>
      <c r="E22" s="9">
        <v>1</v>
      </c>
    </row>
    <row r="23" spans="1:5" ht="15.6" x14ac:dyDescent="0.3">
      <c r="A23" s="9" t="s">
        <v>15</v>
      </c>
      <c r="B23" s="9">
        <v>59.6</v>
      </c>
      <c r="C23" s="9">
        <v>21</v>
      </c>
      <c r="D23" s="9">
        <v>17</v>
      </c>
      <c r="E23" s="9">
        <v>16</v>
      </c>
    </row>
    <row r="24" spans="1:5" ht="15.6" x14ac:dyDescent="0.3">
      <c r="A24" s="9" t="s">
        <v>4</v>
      </c>
      <c r="B24" s="9">
        <v>56</v>
      </c>
      <c r="C24" s="9">
        <v>23</v>
      </c>
      <c r="D24" s="9">
        <v>22</v>
      </c>
      <c r="E24" s="9">
        <v>1</v>
      </c>
    </row>
    <row r="25" spans="1:5" ht="15.6" x14ac:dyDescent="0.3">
      <c r="A25" s="9" t="s">
        <v>6</v>
      </c>
      <c r="B25" s="9">
        <v>52.3</v>
      </c>
      <c r="C25" s="9">
        <v>22</v>
      </c>
      <c r="D25" s="9">
        <v>26</v>
      </c>
      <c r="E25" s="9">
        <v>16</v>
      </c>
    </row>
    <row r="26" spans="1:5" ht="15.6" x14ac:dyDescent="0.3">
      <c r="A26" s="9" t="s">
        <v>1</v>
      </c>
      <c r="B26" s="9">
        <v>49.9</v>
      </c>
      <c r="C26" s="9">
        <v>24</v>
      </c>
      <c r="D26" s="9">
        <v>23</v>
      </c>
      <c r="E26" s="9">
        <v>1</v>
      </c>
    </row>
    <row r="27" spans="1:5" ht="15.6" x14ac:dyDescent="0.3">
      <c r="A27" s="9" t="s">
        <v>9</v>
      </c>
      <c r="B27" s="9">
        <v>48.8</v>
      </c>
      <c r="C27" s="9">
        <v>26</v>
      </c>
      <c r="D27" s="9">
        <v>24</v>
      </c>
      <c r="E27" s="9">
        <v>4</v>
      </c>
    </row>
    <row r="28" spans="1:5" ht="15.6" x14ac:dyDescent="0.3">
      <c r="A28" s="9" t="s">
        <v>127</v>
      </c>
      <c r="B28" s="9">
        <v>45.5</v>
      </c>
      <c r="C28" s="9">
        <v>25</v>
      </c>
      <c r="D28" s="9">
        <v>25</v>
      </c>
      <c r="E28" s="9">
        <v>0</v>
      </c>
    </row>
    <row r="29" spans="1:5" ht="15.6" x14ac:dyDescent="0.3">
      <c r="A29" s="9" t="s">
        <v>11</v>
      </c>
      <c r="B29" s="9">
        <v>45.4</v>
      </c>
      <c r="C29" s="9">
        <v>28</v>
      </c>
      <c r="D29" s="9">
        <v>28</v>
      </c>
      <c r="E29" s="9">
        <v>0</v>
      </c>
    </row>
    <row r="30" spans="1:5" ht="15.6" x14ac:dyDescent="0.3">
      <c r="A30" s="9" t="s">
        <v>10</v>
      </c>
      <c r="B30" s="9">
        <v>42.3</v>
      </c>
      <c r="C30" s="9">
        <v>27</v>
      </c>
      <c r="D30" s="9">
        <v>27</v>
      </c>
      <c r="E30" s="9">
        <v>0</v>
      </c>
    </row>
    <row r="31" spans="1:5" ht="15.6" x14ac:dyDescent="0.3">
      <c r="A31" s="9" t="s">
        <v>8</v>
      </c>
      <c r="B31" s="9">
        <v>34.1</v>
      </c>
      <c r="C31" s="9">
        <v>29</v>
      </c>
      <c r="D31" s="9">
        <v>29</v>
      </c>
      <c r="E31" s="9">
        <v>0</v>
      </c>
    </row>
    <row r="33" spans="1:5" ht="15.6" x14ac:dyDescent="0.3">
      <c r="A33" s="16" t="s">
        <v>186</v>
      </c>
      <c r="B33" s="16"/>
      <c r="C33" s="16"/>
      <c r="D33" s="16"/>
      <c r="E33" s="16">
        <f>SUM(E2:E31)</f>
        <v>346</v>
      </c>
    </row>
    <row r="34" spans="1:5" ht="15.6" x14ac:dyDescent="0.3">
      <c r="A34" s="16" t="s">
        <v>132</v>
      </c>
      <c r="B34" s="16"/>
      <c r="C34" s="16"/>
      <c r="D34" s="16"/>
      <c r="E34" s="16">
        <v>30</v>
      </c>
    </row>
    <row r="35" spans="1:5" ht="15.6" x14ac:dyDescent="0.3">
      <c r="A35" s="16" t="s">
        <v>187</v>
      </c>
      <c r="B35" s="16"/>
      <c r="C35" s="16"/>
      <c r="D35" s="16"/>
      <c r="E35" s="16">
        <f xml:space="preserve"> 1 - (6*E33)/(E34*(E34*E34-1))</f>
        <v>0.92302558398220247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82FF6-2615-4255-AF2A-A813697DBC42}">
  <dimension ref="A1:Z36"/>
  <sheetViews>
    <sheetView topLeftCell="A13" workbookViewId="0">
      <selection activeCell="Z33" sqref="Z33"/>
    </sheetView>
  </sheetViews>
  <sheetFormatPr defaultRowHeight="14.4" x14ac:dyDescent="0.3"/>
  <cols>
    <col min="1" max="1" width="37.109375" bestFit="1" customWidth="1"/>
    <col min="2" max="2" width="13.33203125" bestFit="1" customWidth="1"/>
    <col min="3" max="3" width="13.6640625" bestFit="1" customWidth="1"/>
    <col min="4" max="7" width="13.33203125" bestFit="1" customWidth="1"/>
    <col min="8" max="8" width="13.44140625" bestFit="1" customWidth="1"/>
    <col min="9" max="10" width="13.33203125" bestFit="1" customWidth="1"/>
    <col min="11" max="11" width="13.6640625" bestFit="1" customWidth="1"/>
    <col min="12" max="13" width="13.33203125" bestFit="1" customWidth="1"/>
    <col min="14" max="14" width="14.77734375" bestFit="1" customWidth="1"/>
    <col min="15" max="15" width="13.33203125" bestFit="1" customWidth="1"/>
    <col min="16" max="16" width="13.44140625" bestFit="1" customWidth="1"/>
    <col min="17" max="18" width="13.33203125" bestFit="1" customWidth="1"/>
    <col min="19" max="19" width="14.5546875" bestFit="1" customWidth="1"/>
    <col min="20" max="21" width="13.33203125" bestFit="1" customWidth="1"/>
    <col min="22" max="22" width="14.77734375" bestFit="1" customWidth="1"/>
    <col min="23" max="24" width="13.33203125" bestFit="1" customWidth="1"/>
    <col min="26" max="26" width="18" customWidth="1"/>
  </cols>
  <sheetData>
    <row r="1" spans="1:26" ht="15.6" x14ac:dyDescent="0.3">
      <c r="A1" s="9" t="s">
        <v>61</v>
      </c>
      <c r="B1" s="9" t="s">
        <v>133</v>
      </c>
      <c r="C1" s="9" t="s">
        <v>134</v>
      </c>
      <c r="D1" s="9" t="s">
        <v>135</v>
      </c>
      <c r="E1" s="9" t="s">
        <v>136</v>
      </c>
      <c r="F1" s="9" t="s">
        <v>137</v>
      </c>
      <c r="G1" s="9" t="s">
        <v>138</v>
      </c>
      <c r="H1" s="9" t="s">
        <v>139</v>
      </c>
      <c r="I1" s="9" t="s">
        <v>140</v>
      </c>
      <c r="J1" s="9" t="s">
        <v>141</v>
      </c>
      <c r="K1" s="9" t="s">
        <v>142</v>
      </c>
      <c r="L1" s="9" t="s">
        <v>147</v>
      </c>
      <c r="M1" s="9" t="s">
        <v>155</v>
      </c>
      <c r="N1" s="9" t="s">
        <v>156</v>
      </c>
      <c r="O1" s="9" t="s">
        <v>157</v>
      </c>
      <c r="P1" s="9" t="s">
        <v>158</v>
      </c>
      <c r="Q1" s="9" t="s">
        <v>159</v>
      </c>
      <c r="R1" s="9" t="s">
        <v>160</v>
      </c>
      <c r="S1" s="9" t="s">
        <v>161</v>
      </c>
      <c r="T1" s="9" t="s">
        <v>162</v>
      </c>
      <c r="U1" s="9" t="s">
        <v>163</v>
      </c>
      <c r="V1" s="9" t="s">
        <v>164</v>
      </c>
      <c r="W1" s="9" t="s">
        <v>172</v>
      </c>
      <c r="X1" s="9" t="s">
        <v>181</v>
      </c>
      <c r="Z1" s="16" t="s">
        <v>190</v>
      </c>
    </row>
    <row r="2" spans="1:26" ht="15.6" x14ac:dyDescent="0.3">
      <c r="A2" s="9" t="s">
        <v>24</v>
      </c>
      <c r="B2" s="9">
        <v>8</v>
      </c>
      <c r="C2" s="9">
        <v>10</v>
      </c>
      <c r="D2" s="9">
        <v>8</v>
      </c>
      <c r="E2" s="9">
        <v>8.5</v>
      </c>
      <c r="F2" s="9">
        <v>9</v>
      </c>
      <c r="G2" s="9">
        <v>9</v>
      </c>
      <c r="H2" s="9">
        <v>10</v>
      </c>
      <c r="I2" s="9">
        <v>10</v>
      </c>
      <c r="J2" s="9">
        <v>10</v>
      </c>
      <c r="K2" s="9">
        <v>10</v>
      </c>
      <c r="L2" s="9">
        <v>88.5</v>
      </c>
      <c r="M2" s="9">
        <v>8</v>
      </c>
      <c r="N2" s="9">
        <v>9</v>
      </c>
      <c r="O2" s="9">
        <v>8</v>
      </c>
      <c r="P2" s="9">
        <v>8.5</v>
      </c>
      <c r="Q2" s="9">
        <v>8</v>
      </c>
      <c r="R2" s="9">
        <v>9</v>
      </c>
      <c r="S2" s="9">
        <v>10</v>
      </c>
      <c r="T2" s="9">
        <v>10</v>
      </c>
      <c r="U2" s="9">
        <v>10</v>
      </c>
      <c r="V2" s="9">
        <v>9</v>
      </c>
      <c r="W2" s="9">
        <v>87.3</v>
      </c>
      <c r="X2" s="9">
        <v>87.9</v>
      </c>
      <c r="Z2" s="9">
        <f>2*ABS(L2-W2)/(L2+W2)</f>
        <v>1.3651877133105833E-2</v>
      </c>
    </row>
    <row r="3" spans="1:26" ht="15.6" x14ac:dyDescent="0.3">
      <c r="A3" s="9" t="s">
        <v>2</v>
      </c>
      <c r="B3" s="9">
        <v>9</v>
      </c>
      <c r="C3" s="9">
        <v>9</v>
      </c>
      <c r="D3" s="9">
        <v>9</v>
      </c>
      <c r="E3" s="9">
        <v>9</v>
      </c>
      <c r="F3" s="9">
        <v>8</v>
      </c>
      <c r="G3" s="9">
        <v>8</v>
      </c>
      <c r="H3" s="9">
        <v>8</v>
      </c>
      <c r="I3" s="9">
        <v>9</v>
      </c>
      <c r="J3" s="9">
        <v>9</v>
      </c>
      <c r="K3" s="9">
        <v>8</v>
      </c>
      <c r="L3" s="9">
        <v>85.4</v>
      </c>
      <c r="M3" s="9">
        <v>9</v>
      </c>
      <c r="N3" s="9">
        <v>8</v>
      </c>
      <c r="O3" s="9">
        <v>9</v>
      </c>
      <c r="P3" s="9">
        <v>9</v>
      </c>
      <c r="Q3" s="9">
        <v>9</v>
      </c>
      <c r="R3" s="9">
        <v>8</v>
      </c>
      <c r="S3" s="9">
        <v>8</v>
      </c>
      <c r="T3" s="9">
        <v>10</v>
      </c>
      <c r="U3" s="9">
        <v>9</v>
      </c>
      <c r="V3" s="9">
        <v>7</v>
      </c>
      <c r="W3" s="9">
        <v>85.4</v>
      </c>
      <c r="X3" s="9">
        <v>85.4</v>
      </c>
      <c r="Z3" s="9">
        <f t="shared" ref="Z3:Z31" si="0">2*ABS(L3-W3)/(L3+W3)</f>
        <v>0</v>
      </c>
    </row>
    <row r="4" spans="1:26" ht="15.6" x14ac:dyDescent="0.3">
      <c r="A4" s="9" t="s">
        <v>17</v>
      </c>
      <c r="B4" s="9">
        <v>9</v>
      </c>
      <c r="C4" s="9">
        <v>10</v>
      </c>
      <c r="D4" s="9">
        <v>9</v>
      </c>
      <c r="E4" s="9">
        <v>9</v>
      </c>
      <c r="F4" s="9">
        <v>8</v>
      </c>
      <c r="G4" s="9">
        <v>8</v>
      </c>
      <c r="H4" s="9">
        <v>8</v>
      </c>
      <c r="I4" s="9">
        <v>8</v>
      </c>
      <c r="J4" s="9">
        <v>9</v>
      </c>
      <c r="K4" s="9">
        <v>8</v>
      </c>
      <c r="L4" s="9">
        <v>85.4</v>
      </c>
      <c r="M4" s="9">
        <v>8</v>
      </c>
      <c r="N4" s="9">
        <v>10</v>
      </c>
      <c r="O4" s="9">
        <v>8</v>
      </c>
      <c r="P4" s="9">
        <v>9</v>
      </c>
      <c r="Q4" s="9">
        <v>8</v>
      </c>
      <c r="R4" s="9">
        <v>8</v>
      </c>
      <c r="S4" s="9">
        <v>9</v>
      </c>
      <c r="T4" s="9">
        <v>9</v>
      </c>
      <c r="U4" s="9">
        <v>9</v>
      </c>
      <c r="V4" s="9">
        <v>8</v>
      </c>
      <c r="W4" s="9">
        <v>82.9</v>
      </c>
      <c r="X4" s="9">
        <v>84.2</v>
      </c>
      <c r="Z4" s="9">
        <f t="shared" si="0"/>
        <v>2.9708853238265002E-2</v>
      </c>
    </row>
    <row r="5" spans="1:26" ht="15.6" x14ac:dyDescent="0.3">
      <c r="A5" s="9" t="s">
        <v>16</v>
      </c>
      <c r="B5" s="9">
        <v>10</v>
      </c>
      <c r="C5" s="9">
        <v>9</v>
      </c>
      <c r="D5" s="9">
        <v>9</v>
      </c>
      <c r="E5" s="9">
        <v>8.5</v>
      </c>
      <c r="F5" s="9">
        <v>9</v>
      </c>
      <c r="G5" s="9">
        <v>6</v>
      </c>
      <c r="H5" s="9">
        <v>10</v>
      </c>
      <c r="I5" s="9">
        <v>8</v>
      </c>
      <c r="J5" s="9">
        <v>7</v>
      </c>
      <c r="K5" s="9">
        <v>8</v>
      </c>
      <c r="L5" s="9">
        <v>81</v>
      </c>
      <c r="M5" s="9">
        <v>10</v>
      </c>
      <c r="N5" s="9">
        <v>9</v>
      </c>
      <c r="O5" s="9">
        <v>9</v>
      </c>
      <c r="P5" s="9">
        <v>8.5</v>
      </c>
      <c r="Q5" s="9">
        <v>9</v>
      </c>
      <c r="R5" s="9">
        <v>7</v>
      </c>
      <c r="S5" s="9">
        <v>9</v>
      </c>
      <c r="T5" s="9">
        <v>9</v>
      </c>
      <c r="U5" s="9">
        <v>8</v>
      </c>
      <c r="V5" s="9">
        <v>8</v>
      </c>
      <c r="W5" s="9">
        <v>84</v>
      </c>
      <c r="X5" s="9">
        <v>82.5</v>
      </c>
      <c r="Z5" s="9">
        <f t="shared" si="0"/>
        <v>3.6363636363636362E-2</v>
      </c>
    </row>
    <row r="6" spans="1:26" ht="15.6" x14ac:dyDescent="0.3">
      <c r="A6" s="9" t="s">
        <v>125</v>
      </c>
      <c r="B6" s="9">
        <v>7</v>
      </c>
      <c r="C6" s="9">
        <v>9</v>
      </c>
      <c r="D6" s="9">
        <v>7</v>
      </c>
      <c r="E6" s="9">
        <v>7.5</v>
      </c>
      <c r="F6" s="9">
        <v>8</v>
      </c>
      <c r="G6" s="9">
        <v>8</v>
      </c>
      <c r="H6" s="9">
        <v>8</v>
      </c>
      <c r="I6" s="9">
        <v>9</v>
      </c>
      <c r="J6" s="9">
        <v>9</v>
      </c>
      <c r="K6" s="9">
        <v>10</v>
      </c>
      <c r="L6" s="9">
        <v>78.099999999999994</v>
      </c>
      <c r="M6" s="9">
        <v>7</v>
      </c>
      <c r="N6" s="9">
        <v>9</v>
      </c>
      <c r="O6" s="9">
        <v>7</v>
      </c>
      <c r="P6" s="9">
        <v>8</v>
      </c>
      <c r="Q6" s="9">
        <v>7</v>
      </c>
      <c r="R6" s="9">
        <v>8</v>
      </c>
      <c r="S6" s="9">
        <v>8</v>
      </c>
      <c r="T6" s="9">
        <v>9</v>
      </c>
      <c r="U6" s="9">
        <v>8</v>
      </c>
      <c r="V6" s="9">
        <v>10</v>
      </c>
      <c r="W6" s="9">
        <v>77.5</v>
      </c>
      <c r="X6" s="9">
        <v>77.8</v>
      </c>
      <c r="Z6" s="9">
        <f t="shared" si="0"/>
        <v>7.7120822622107239E-3</v>
      </c>
    </row>
    <row r="7" spans="1:26" ht="15.6" x14ac:dyDescent="0.3">
      <c r="A7" s="9" t="s">
        <v>19</v>
      </c>
      <c r="B7" s="9">
        <v>10</v>
      </c>
      <c r="C7" s="9">
        <v>8</v>
      </c>
      <c r="D7" s="9">
        <v>8</v>
      </c>
      <c r="E7" s="9">
        <v>8</v>
      </c>
      <c r="F7" s="9">
        <v>8</v>
      </c>
      <c r="G7" s="9">
        <v>7</v>
      </c>
      <c r="H7" s="9">
        <v>8</v>
      </c>
      <c r="I7" s="9">
        <v>9</v>
      </c>
      <c r="J7" s="9">
        <v>7</v>
      </c>
      <c r="K7" s="9">
        <v>8</v>
      </c>
      <c r="L7" s="9">
        <v>78.8</v>
      </c>
      <c r="M7" s="9">
        <v>9</v>
      </c>
      <c r="N7" s="9">
        <v>8</v>
      </c>
      <c r="O7" s="9">
        <v>8</v>
      </c>
      <c r="P7" s="9">
        <v>8</v>
      </c>
      <c r="Q7" s="9">
        <v>8</v>
      </c>
      <c r="R7" s="9">
        <v>5</v>
      </c>
      <c r="S7" s="9">
        <v>8</v>
      </c>
      <c r="T7" s="9">
        <v>9</v>
      </c>
      <c r="U7" s="9">
        <v>7</v>
      </c>
      <c r="V7" s="9">
        <v>8</v>
      </c>
      <c r="W7" s="9">
        <v>72.099999999999994</v>
      </c>
      <c r="X7" s="9">
        <v>75.400000000000006</v>
      </c>
      <c r="Z7" s="9">
        <f t="shared" si="0"/>
        <v>8.8800530152418872E-2</v>
      </c>
    </row>
    <row r="8" spans="1:26" ht="15.6" x14ac:dyDescent="0.3">
      <c r="A8" s="9" t="s">
        <v>22</v>
      </c>
      <c r="B8" s="9">
        <v>9</v>
      </c>
      <c r="C8" s="9">
        <v>9</v>
      </c>
      <c r="D8" s="9">
        <v>6</v>
      </c>
      <c r="E8" s="9">
        <v>9</v>
      </c>
      <c r="F8" s="9">
        <v>9</v>
      </c>
      <c r="G8" s="9">
        <v>8</v>
      </c>
      <c r="H8" s="9">
        <v>10</v>
      </c>
      <c r="I8" s="9">
        <v>9</v>
      </c>
      <c r="J8" s="9">
        <v>7</v>
      </c>
      <c r="K8" s="9">
        <v>8</v>
      </c>
      <c r="L8" s="9">
        <v>77.900000000000006</v>
      </c>
      <c r="M8" s="9">
        <v>9</v>
      </c>
      <c r="N8" s="9">
        <v>9</v>
      </c>
      <c r="O8" s="9">
        <v>6</v>
      </c>
      <c r="P8" s="9">
        <v>9</v>
      </c>
      <c r="Q8" s="9">
        <v>9</v>
      </c>
      <c r="R8" s="9">
        <v>5</v>
      </c>
      <c r="S8" s="9">
        <v>10</v>
      </c>
      <c r="T8" s="9">
        <v>9</v>
      </c>
      <c r="U8" s="9">
        <v>6</v>
      </c>
      <c r="V8" s="9">
        <v>10</v>
      </c>
      <c r="W8" s="9">
        <v>69.599999999999994</v>
      </c>
      <c r="X8" s="9">
        <v>73.8</v>
      </c>
      <c r="Z8" s="9">
        <f t="shared" si="0"/>
        <v>0.11254237288135609</v>
      </c>
    </row>
    <row r="9" spans="1:26" ht="15.6" x14ac:dyDescent="0.3">
      <c r="A9" s="9" t="s">
        <v>7</v>
      </c>
      <c r="B9" s="9">
        <v>10</v>
      </c>
      <c r="C9" s="9">
        <v>7</v>
      </c>
      <c r="D9" s="9">
        <v>8</v>
      </c>
      <c r="E9" s="9">
        <v>7.5</v>
      </c>
      <c r="F9" s="9">
        <v>7</v>
      </c>
      <c r="G9" s="9">
        <v>7</v>
      </c>
      <c r="H9" s="9">
        <v>8</v>
      </c>
      <c r="I9" s="9">
        <v>8</v>
      </c>
      <c r="J9" s="9">
        <v>7</v>
      </c>
      <c r="K9" s="9">
        <v>5</v>
      </c>
      <c r="L9" s="9">
        <v>73.5</v>
      </c>
      <c r="M9" s="9">
        <v>9</v>
      </c>
      <c r="N9" s="9">
        <v>8</v>
      </c>
      <c r="O9" s="9">
        <v>8</v>
      </c>
      <c r="P9" s="9">
        <v>7</v>
      </c>
      <c r="Q9" s="9">
        <v>7</v>
      </c>
      <c r="R9" s="9">
        <v>6</v>
      </c>
      <c r="S9" s="9">
        <v>7</v>
      </c>
      <c r="T9" s="9">
        <v>8</v>
      </c>
      <c r="U9" s="9">
        <v>8</v>
      </c>
      <c r="V9" s="9">
        <v>7</v>
      </c>
      <c r="W9" s="9">
        <v>72.900000000000006</v>
      </c>
      <c r="X9" s="9">
        <v>73.5</v>
      </c>
      <c r="Z9" s="9">
        <f t="shared" si="0"/>
        <v>8.1967213114753322E-3</v>
      </c>
    </row>
    <row r="10" spans="1:26" ht="15.6" x14ac:dyDescent="0.3">
      <c r="A10" s="9" t="s">
        <v>14</v>
      </c>
      <c r="B10" s="9">
        <v>10</v>
      </c>
      <c r="C10" s="9">
        <v>8</v>
      </c>
      <c r="D10" s="9">
        <v>8</v>
      </c>
      <c r="E10" s="9">
        <v>7.5</v>
      </c>
      <c r="F10" s="9">
        <v>9</v>
      </c>
      <c r="G10" s="9">
        <v>7</v>
      </c>
      <c r="H10" s="9">
        <v>5</v>
      </c>
      <c r="I10" s="9">
        <v>6</v>
      </c>
      <c r="J10" s="9">
        <v>6</v>
      </c>
      <c r="K10" s="9">
        <v>8</v>
      </c>
      <c r="L10" s="9">
        <v>72.3</v>
      </c>
      <c r="M10" s="9">
        <v>10</v>
      </c>
      <c r="N10" s="9">
        <v>7</v>
      </c>
      <c r="O10" s="9">
        <v>8</v>
      </c>
      <c r="P10" s="9">
        <v>8</v>
      </c>
      <c r="Q10" s="9">
        <v>9</v>
      </c>
      <c r="R10" s="9">
        <v>5</v>
      </c>
      <c r="S10" s="9">
        <v>8</v>
      </c>
      <c r="T10" s="9">
        <v>7</v>
      </c>
      <c r="U10" s="9">
        <v>6</v>
      </c>
      <c r="V10" s="9">
        <v>8</v>
      </c>
      <c r="W10" s="9">
        <v>71.7</v>
      </c>
      <c r="X10" s="9">
        <v>73.2</v>
      </c>
      <c r="Z10" s="9">
        <f t="shared" si="0"/>
        <v>8.3333333333332552E-3</v>
      </c>
    </row>
    <row r="11" spans="1:26" ht="15.6" x14ac:dyDescent="0.3">
      <c r="A11" s="9" t="s">
        <v>129</v>
      </c>
      <c r="B11" s="9">
        <v>10</v>
      </c>
      <c r="C11" s="9">
        <v>9</v>
      </c>
      <c r="D11" s="9">
        <v>8</v>
      </c>
      <c r="E11" s="9">
        <v>8.5</v>
      </c>
      <c r="F11" s="9">
        <v>9</v>
      </c>
      <c r="G11" s="9">
        <v>7</v>
      </c>
      <c r="H11" s="9">
        <v>5</v>
      </c>
      <c r="I11" s="9">
        <v>6</v>
      </c>
      <c r="J11" s="9">
        <v>8</v>
      </c>
      <c r="K11" s="9">
        <v>5</v>
      </c>
      <c r="L11" s="9">
        <v>71.5</v>
      </c>
      <c r="M11" s="9">
        <v>9</v>
      </c>
      <c r="N11" s="9">
        <v>9</v>
      </c>
      <c r="O11" s="9">
        <v>8</v>
      </c>
      <c r="P11" s="9">
        <v>7</v>
      </c>
      <c r="Q11" s="9">
        <v>9</v>
      </c>
      <c r="R11" s="9">
        <v>8</v>
      </c>
      <c r="S11" s="9">
        <v>5</v>
      </c>
      <c r="T11" s="9">
        <v>8</v>
      </c>
      <c r="U11" s="9">
        <v>8</v>
      </c>
      <c r="V11" s="9">
        <v>5</v>
      </c>
      <c r="W11" s="9">
        <v>72.5</v>
      </c>
      <c r="X11" s="9">
        <v>72.599999999999994</v>
      </c>
      <c r="Z11" s="9">
        <f t="shared" si="0"/>
        <v>1.3888888888888888E-2</v>
      </c>
    </row>
    <row r="12" spans="1:26" ht="15.6" x14ac:dyDescent="0.3">
      <c r="A12" s="9" t="s">
        <v>124</v>
      </c>
      <c r="B12" s="9">
        <v>10</v>
      </c>
      <c r="C12" s="9">
        <v>9</v>
      </c>
      <c r="D12" s="9">
        <v>6</v>
      </c>
      <c r="E12" s="9">
        <v>8</v>
      </c>
      <c r="F12" s="9">
        <v>8</v>
      </c>
      <c r="G12" s="9">
        <v>8</v>
      </c>
      <c r="H12" s="9">
        <v>10</v>
      </c>
      <c r="I12" s="9">
        <v>7</v>
      </c>
      <c r="J12" s="9">
        <v>7</v>
      </c>
      <c r="K12" s="9">
        <v>8</v>
      </c>
      <c r="L12" s="9">
        <v>77.099999999999994</v>
      </c>
      <c r="M12" s="9">
        <v>10</v>
      </c>
      <c r="N12" s="9">
        <v>9</v>
      </c>
      <c r="O12" s="9">
        <v>7</v>
      </c>
      <c r="P12" s="9">
        <v>9</v>
      </c>
      <c r="Q12" s="9">
        <v>9</v>
      </c>
      <c r="R12" s="9">
        <v>3</v>
      </c>
      <c r="S12" s="9">
        <v>9</v>
      </c>
      <c r="T12" s="9">
        <v>8</v>
      </c>
      <c r="U12" s="9">
        <v>5</v>
      </c>
      <c r="V12" s="9">
        <v>10</v>
      </c>
      <c r="W12" s="9">
        <v>65.8</v>
      </c>
      <c r="X12" s="9">
        <v>71.5</v>
      </c>
      <c r="Z12" s="9">
        <f t="shared" si="0"/>
        <v>0.15815255423372987</v>
      </c>
    </row>
    <row r="13" spans="1:26" ht="15.6" x14ac:dyDescent="0.3">
      <c r="A13" s="9" t="s">
        <v>0</v>
      </c>
      <c r="B13" s="9">
        <v>8</v>
      </c>
      <c r="C13" s="9">
        <v>8</v>
      </c>
      <c r="D13" s="9">
        <v>9</v>
      </c>
      <c r="E13" s="9">
        <v>7</v>
      </c>
      <c r="F13" s="9">
        <v>8</v>
      </c>
      <c r="G13" s="9">
        <v>6</v>
      </c>
      <c r="H13" s="9">
        <v>7</v>
      </c>
      <c r="I13" s="9">
        <v>8</v>
      </c>
      <c r="J13" s="9">
        <v>8</v>
      </c>
      <c r="K13" s="9">
        <v>7</v>
      </c>
      <c r="L13" s="9">
        <v>74.2</v>
      </c>
      <c r="M13" s="9">
        <v>8</v>
      </c>
      <c r="N13" s="9">
        <v>8</v>
      </c>
      <c r="O13" s="9">
        <v>8</v>
      </c>
      <c r="P13" s="9">
        <v>6</v>
      </c>
      <c r="Q13" s="9">
        <v>7</v>
      </c>
      <c r="R13" s="9">
        <v>5</v>
      </c>
      <c r="S13" s="9">
        <v>7</v>
      </c>
      <c r="T13" s="9">
        <v>8</v>
      </c>
      <c r="U13" s="9">
        <v>7</v>
      </c>
      <c r="V13" s="9">
        <v>7</v>
      </c>
      <c r="W13" s="9">
        <v>68.3</v>
      </c>
      <c r="X13" s="9">
        <v>71.3</v>
      </c>
      <c r="Z13" s="9">
        <f t="shared" si="0"/>
        <v>8.2807017543859732E-2</v>
      </c>
    </row>
    <row r="14" spans="1:26" ht="15.6" x14ac:dyDescent="0.3">
      <c r="A14" s="9" t="s">
        <v>3</v>
      </c>
      <c r="B14" s="9">
        <v>10</v>
      </c>
      <c r="C14" s="9">
        <v>8</v>
      </c>
      <c r="D14" s="9">
        <v>7</v>
      </c>
      <c r="E14" s="9">
        <v>7.5</v>
      </c>
      <c r="F14" s="9">
        <v>7</v>
      </c>
      <c r="G14" s="9">
        <v>6</v>
      </c>
      <c r="H14" s="9">
        <v>8</v>
      </c>
      <c r="I14" s="9">
        <v>8</v>
      </c>
      <c r="J14" s="9">
        <v>8</v>
      </c>
      <c r="K14" s="9">
        <v>8</v>
      </c>
      <c r="L14" s="9">
        <v>72.3</v>
      </c>
      <c r="M14" s="9">
        <v>10</v>
      </c>
      <c r="N14" s="9">
        <v>8</v>
      </c>
      <c r="O14" s="9">
        <v>7</v>
      </c>
      <c r="P14" s="9">
        <v>6</v>
      </c>
      <c r="Q14" s="9">
        <v>7</v>
      </c>
      <c r="R14" s="9">
        <v>5</v>
      </c>
      <c r="S14" s="9">
        <v>8</v>
      </c>
      <c r="T14" s="9">
        <v>8</v>
      </c>
      <c r="U14" s="9">
        <v>8</v>
      </c>
      <c r="V14" s="9">
        <v>8</v>
      </c>
      <c r="W14" s="9">
        <v>68.8</v>
      </c>
      <c r="X14" s="9">
        <v>70.5</v>
      </c>
      <c r="Z14" s="9">
        <f t="shared" si="0"/>
        <v>4.9610205527994333E-2</v>
      </c>
    </row>
    <row r="15" spans="1:26" ht="15.6" x14ac:dyDescent="0.3">
      <c r="A15" s="9" t="s">
        <v>12</v>
      </c>
      <c r="B15" s="9">
        <v>10</v>
      </c>
      <c r="C15" s="9">
        <v>8</v>
      </c>
      <c r="D15" s="9">
        <v>8</v>
      </c>
      <c r="E15" s="9">
        <v>8</v>
      </c>
      <c r="F15" s="9">
        <v>7</v>
      </c>
      <c r="G15" s="9">
        <v>7</v>
      </c>
      <c r="H15" s="9">
        <v>5</v>
      </c>
      <c r="I15" s="9">
        <v>7</v>
      </c>
      <c r="J15" s="9">
        <v>6</v>
      </c>
      <c r="K15" s="9">
        <v>5</v>
      </c>
      <c r="L15" s="9">
        <v>68.3</v>
      </c>
      <c r="M15" s="9">
        <v>9</v>
      </c>
      <c r="N15" s="9">
        <v>8</v>
      </c>
      <c r="O15" s="9">
        <v>8</v>
      </c>
      <c r="P15" s="9">
        <v>7</v>
      </c>
      <c r="Q15" s="9">
        <v>7</v>
      </c>
      <c r="R15" s="9">
        <v>8</v>
      </c>
      <c r="S15" s="9">
        <v>5</v>
      </c>
      <c r="T15" s="9">
        <v>7</v>
      </c>
      <c r="U15" s="9">
        <v>7</v>
      </c>
      <c r="V15" s="9">
        <v>5</v>
      </c>
      <c r="W15" s="9">
        <v>69.2</v>
      </c>
      <c r="X15" s="9">
        <v>68.8</v>
      </c>
      <c r="Z15" s="9">
        <f t="shared" si="0"/>
        <v>1.3090909090909174E-2</v>
      </c>
    </row>
    <row r="16" spans="1:26" ht="15.6" x14ac:dyDescent="0.3">
      <c r="A16" s="9" t="s">
        <v>126</v>
      </c>
      <c r="B16" s="9">
        <v>10</v>
      </c>
      <c r="C16" s="9">
        <v>7</v>
      </c>
      <c r="D16" s="9">
        <v>8</v>
      </c>
      <c r="E16" s="9">
        <v>7.5</v>
      </c>
      <c r="F16" s="9">
        <v>8</v>
      </c>
      <c r="G16" s="9">
        <v>6</v>
      </c>
      <c r="H16" s="9">
        <v>5</v>
      </c>
      <c r="I16" s="9">
        <v>8</v>
      </c>
      <c r="J16" s="9">
        <v>5</v>
      </c>
      <c r="K16" s="9">
        <v>5</v>
      </c>
      <c r="L16" s="9">
        <v>67.7</v>
      </c>
      <c r="M16" s="9">
        <v>9</v>
      </c>
      <c r="N16" s="9">
        <v>7</v>
      </c>
      <c r="O16" s="9">
        <v>9</v>
      </c>
      <c r="P16" s="9">
        <v>7</v>
      </c>
      <c r="Q16" s="9">
        <v>8</v>
      </c>
      <c r="R16" s="9">
        <v>5</v>
      </c>
      <c r="S16" s="9">
        <v>5</v>
      </c>
      <c r="T16" s="9">
        <v>8</v>
      </c>
      <c r="U16" s="9">
        <v>5</v>
      </c>
      <c r="V16" s="9">
        <v>5</v>
      </c>
      <c r="W16" s="9">
        <v>67.900000000000006</v>
      </c>
      <c r="X16" s="9">
        <v>67.8</v>
      </c>
      <c r="Z16" s="9">
        <f t="shared" si="0"/>
        <v>2.9498525073746729E-3</v>
      </c>
    </row>
    <row r="17" spans="1:26" ht="15.6" x14ac:dyDescent="0.3">
      <c r="A17" s="9" t="s">
        <v>20</v>
      </c>
      <c r="B17" s="9">
        <v>9</v>
      </c>
      <c r="C17" s="9">
        <v>7</v>
      </c>
      <c r="D17" s="9">
        <v>7</v>
      </c>
      <c r="E17" s="9">
        <v>7</v>
      </c>
      <c r="F17" s="9">
        <v>6</v>
      </c>
      <c r="G17" s="9">
        <v>8</v>
      </c>
      <c r="H17" s="9">
        <v>5</v>
      </c>
      <c r="I17" s="9">
        <v>7</v>
      </c>
      <c r="J17" s="9">
        <v>6</v>
      </c>
      <c r="K17" s="9">
        <v>5</v>
      </c>
      <c r="L17" s="9">
        <v>65</v>
      </c>
      <c r="M17" s="9">
        <v>8</v>
      </c>
      <c r="N17" s="9">
        <v>8</v>
      </c>
      <c r="O17" s="9">
        <v>7</v>
      </c>
      <c r="P17" s="9">
        <v>8</v>
      </c>
      <c r="Q17" s="9">
        <v>7</v>
      </c>
      <c r="R17" s="9">
        <v>8</v>
      </c>
      <c r="S17" s="9">
        <v>6</v>
      </c>
      <c r="T17" s="9">
        <v>7</v>
      </c>
      <c r="U17" s="9">
        <v>6</v>
      </c>
      <c r="V17" s="9">
        <v>5</v>
      </c>
      <c r="W17" s="9">
        <v>66.3</v>
      </c>
      <c r="X17" s="9">
        <v>65.599999999999994</v>
      </c>
      <c r="Z17" s="9">
        <f t="shared" si="0"/>
        <v>1.9801980198019757E-2</v>
      </c>
    </row>
    <row r="18" spans="1:26" ht="15.6" x14ac:dyDescent="0.3">
      <c r="A18" s="9" t="s">
        <v>13</v>
      </c>
      <c r="B18" s="9">
        <v>5</v>
      </c>
      <c r="C18" s="9">
        <v>5</v>
      </c>
      <c r="D18" s="9">
        <v>6</v>
      </c>
      <c r="E18" s="9">
        <v>7</v>
      </c>
      <c r="F18" s="9">
        <v>7</v>
      </c>
      <c r="G18" s="9">
        <v>7</v>
      </c>
      <c r="H18" s="9">
        <v>8</v>
      </c>
      <c r="I18" s="9">
        <v>9</v>
      </c>
      <c r="J18" s="9">
        <v>7</v>
      </c>
      <c r="K18" s="9">
        <v>8</v>
      </c>
      <c r="L18" s="9">
        <v>66.7</v>
      </c>
      <c r="M18" s="9">
        <v>8</v>
      </c>
      <c r="N18" s="9">
        <v>5</v>
      </c>
      <c r="O18" s="9">
        <v>6</v>
      </c>
      <c r="P18" s="9">
        <v>7</v>
      </c>
      <c r="Q18" s="9">
        <v>7</v>
      </c>
      <c r="R18" s="9">
        <v>5</v>
      </c>
      <c r="S18" s="9">
        <v>8</v>
      </c>
      <c r="T18" s="9">
        <v>9</v>
      </c>
      <c r="U18" s="9">
        <v>7</v>
      </c>
      <c r="V18" s="9">
        <v>10</v>
      </c>
      <c r="W18" s="9">
        <v>64.2</v>
      </c>
      <c r="X18" s="9">
        <v>65.400000000000006</v>
      </c>
      <c r="Z18" s="9">
        <f t="shared" si="0"/>
        <v>3.819709702062643E-2</v>
      </c>
    </row>
    <row r="19" spans="1:26" ht="15.6" x14ac:dyDescent="0.3">
      <c r="A19" s="9" t="s">
        <v>5</v>
      </c>
      <c r="B19" s="9">
        <v>9</v>
      </c>
      <c r="C19" s="9">
        <v>6</v>
      </c>
      <c r="D19" s="9">
        <v>7</v>
      </c>
      <c r="E19" s="9">
        <v>7</v>
      </c>
      <c r="F19" s="9">
        <v>7</v>
      </c>
      <c r="G19" s="9">
        <v>6</v>
      </c>
      <c r="H19" s="9">
        <v>8</v>
      </c>
      <c r="I19" s="9">
        <v>6</v>
      </c>
      <c r="J19" s="9">
        <v>6</v>
      </c>
      <c r="K19" s="9">
        <v>8</v>
      </c>
      <c r="L19" s="9">
        <v>68.8</v>
      </c>
      <c r="M19" s="9">
        <v>8</v>
      </c>
      <c r="N19" s="9">
        <v>5</v>
      </c>
      <c r="O19" s="9">
        <v>5</v>
      </c>
      <c r="P19" s="9">
        <v>6</v>
      </c>
      <c r="Q19" s="9">
        <v>7</v>
      </c>
      <c r="R19" s="9">
        <v>5</v>
      </c>
      <c r="S19" s="9">
        <v>10</v>
      </c>
      <c r="T19" s="9">
        <v>6</v>
      </c>
      <c r="U19" s="9">
        <v>6</v>
      </c>
      <c r="V19" s="9">
        <v>8</v>
      </c>
      <c r="W19" s="9">
        <v>60</v>
      </c>
      <c r="X19" s="9">
        <v>64.400000000000006</v>
      </c>
      <c r="Z19" s="9">
        <f t="shared" si="0"/>
        <v>0.13664596273291921</v>
      </c>
    </row>
    <row r="20" spans="1:26" ht="15.6" x14ac:dyDescent="0.3">
      <c r="A20" s="9" t="s">
        <v>23</v>
      </c>
      <c r="B20" s="9">
        <v>8</v>
      </c>
      <c r="C20" s="9">
        <v>9</v>
      </c>
      <c r="D20" s="9">
        <v>6</v>
      </c>
      <c r="E20" s="9">
        <v>6.5</v>
      </c>
      <c r="F20" s="9">
        <v>9</v>
      </c>
      <c r="G20" s="9">
        <v>7</v>
      </c>
      <c r="H20" s="9">
        <v>8</v>
      </c>
      <c r="I20" s="9">
        <v>6</v>
      </c>
      <c r="J20" s="9">
        <v>6</v>
      </c>
      <c r="K20" s="9">
        <v>8</v>
      </c>
      <c r="L20" s="9">
        <v>69.8</v>
      </c>
      <c r="M20" s="9">
        <v>9</v>
      </c>
      <c r="N20" s="9">
        <v>9</v>
      </c>
      <c r="O20" s="9">
        <v>6</v>
      </c>
      <c r="P20" s="9">
        <v>7</v>
      </c>
      <c r="Q20" s="9">
        <v>8</v>
      </c>
      <c r="R20" s="9">
        <v>3</v>
      </c>
      <c r="S20" s="9">
        <v>8</v>
      </c>
      <c r="T20" s="9">
        <v>6</v>
      </c>
      <c r="U20" s="9">
        <v>3</v>
      </c>
      <c r="V20" s="9">
        <v>10</v>
      </c>
      <c r="W20" s="9">
        <v>58.3</v>
      </c>
      <c r="X20" s="9">
        <v>64.099999999999994</v>
      </c>
      <c r="Z20" s="9">
        <f t="shared" si="0"/>
        <v>0.1795472287275566</v>
      </c>
    </row>
    <row r="21" spans="1:26" ht="15.6" x14ac:dyDescent="0.3">
      <c r="A21" s="9" t="s">
        <v>21</v>
      </c>
      <c r="B21" s="9">
        <v>5</v>
      </c>
      <c r="C21" s="9">
        <v>7</v>
      </c>
      <c r="D21" s="9">
        <v>6</v>
      </c>
      <c r="E21" s="9">
        <v>7.5</v>
      </c>
      <c r="F21" s="9">
        <v>7</v>
      </c>
      <c r="G21" s="9">
        <v>7</v>
      </c>
      <c r="H21" s="9">
        <v>8</v>
      </c>
      <c r="I21" s="9">
        <v>6</v>
      </c>
      <c r="J21" s="9">
        <v>8</v>
      </c>
      <c r="K21" s="9">
        <v>8</v>
      </c>
      <c r="L21" s="9">
        <v>66.900000000000006</v>
      </c>
      <c r="M21" s="9">
        <v>6</v>
      </c>
      <c r="N21" s="9">
        <v>8</v>
      </c>
      <c r="O21" s="9">
        <v>5</v>
      </c>
      <c r="P21" s="9">
        <v>8</v>
      </c>
      <c r="Q21" s="9">
        <v>6</v>
      </c>
      <c r="R21" s="9">
        <v>5</v>
      </c>
      <c r="S21" s="9">
        <v>7</v>
      </c>
      <c r="T21" s="9">
        <v>6</v>
      </c>
      <c r="U21" s="9">
        <v>7</v>
      </c>
      <c r="V21" s="9">
        <v>8</v>
      </c>
      <c r="W21" s="9">
        <v>57.9</v>
      </c>
      <c r="X21" s="9">
        <v>62.4</v>
      </c>
      <c r="Z21" s="9">
        <f t="shared" si="0"/>
        <v>0.14423076923076933</v>
      </c>
    </row>
    <row r="22" spans="1:26" ht="15.6" x14ac:dyDescent="0.3">
      <c r="A22" s="9" t="s">
        <v>18</v>
      </c>
      <c r="B22" s="9">
        <v>9</v>
      </c>
      <c r="C22" s="9">
        <v>4</v>
      </c>
      <c r="D22" s="9">
        <v>8</v>
      </c>
      <c r="E22" s="9">
        <v>6.5</v>
      </c>
      <c r="F22" s="9">
        <v>6</v>
      </c>
      <c r="G22" s="9">
        <v>7</v>
      </c>
      <c r="H22" s="9">
        <v>5</v>
      </c>
      <c r="I22" s="9">
        <v>7</v>
      </c>
      <c r="J22" s="9">
        <v>6</v>
      </c>
      <c r="K22" s="9">
        <v>5</v>
      </c>
      <c r="L22" s="9">
        <v>61.7</v>
      </c>
      <c r="M22" s="9">
        <v>7</v>
      </c>
      <c r="N22" s="9">
        <v>5</v>
      </c>
      <c r="O22" s="9">
        <v>6</v>
      </c>
      <c r="P22" s="9">
        <v>6.5</v>
      </c>
      <c r="Q22" s="9">
        <v>5</v>
      </c>
      <c r="R22" s="9">
        <v>7</v>
      </c>
      <c r="S22" s="9">
        <v>5</v>
      </c>
      <c r="T22" s="9">
        <v>7</v>
      </c>
      <c r="U22" s="9">
        <v>6</v>
      </c>
      <c r="V22" s="9">
        <v>6</v>
      </c>
      <c r="W22" s="9">
        <v>59.6</v>
      </c>
      <c r="X22" s="9">
        <v>60.6</v>
      </c>
      <c r="Z22" s="9">
        <f t="shared" si="0"/>
        <v>3.4624896949711478E-2</v>
      </c>
    </row>
    <row r="23" spans="1:26" ht="15.6" x14ac:dyDescent="0.3">
      <c r="A23" s="9" t="s">
        <v>15</v>
      </c>
      <c r="B23" s="9">
        <v>10</v>
      </c>
      <c r="C23" s="9">
        <v>8</v>
      </c>
      <c r="D23" s="9">
        <v>7</v>
      </c>
      <c r="E23" s="9">
        <v>7.5</v>
      </c>
      <c r="F23" s="9">
        <v>7</v>
      </c>
      <c r="G23" s="9">
        <v>8</v>
      </c>
      <c r="H23" s="9">
        <v>3</v>
      </c>
      <c r="I23" s="9">
        <v>5</v>
      </c>
      <c r="J23" s="9">
        <v>6</v>
      </c>
      <c r="K23" s="9">
        <v>3</v>
      </c>
      <c r="L23" s="9">
        <v>58.5</v>
      </c>
      <c r="M23" s="9">
        <v>10</v>
      </c>
      <c r="N23" s="9">
        <v>8</v>
      </c>
      <c r="O23" s="9">
        <v>7</v>
      </c>
      <c r="P23" s="9">
        <v>7.5</v>
      </c>
      <c r="Q23" s="9">
        <v>8</v>
      </c>
      <c r="R23" s="9">
        <v>8</v>
      </c>
      <c r="S23" s="9">
        <v>3</v>
      </c>
      <c r="T23" s="9">
        <v>5</v>
      </c>
      <c r="U23" s="9">
        <v>7</v>
      </c>
      <c r="V23" s="9">
        <v>3</v>
      </c>
      <c r="W23" s="9">
        <v>60.6</v>
      </c>
      <c r="X23" s="9">
        <v>59.6</v>
      </c>
      <c r="Z23" s="9">
        <f t="shared" si="0"/>
        <v>3.5264483627204059E-2</v>
      </c>
    </row>
    <row r="24" spans="1:26" ht="15.6" x14ac:dyDescent="0.3">
      <c r="A24" s="9" t="s">
        <v>4</v>
      </c>
      <c r="B24" s="9">
        <v>8</v>
      </c>
      <c r="C24" s="9">
        <v>8</v>
      </c>
      <c r="D24" s="9">
        <v>6</v>
      </c>
      <c r="E24" s="9">
        <v>8</v>
      </c>
      <c r="F24" s="9">
        <v>7</v>
      </c>
      <c r="G24" s="9">
        <v>7</v>
      </c>
      <c r="H24" s="9">
        <v>5</v>
      </c>
      <c r="I24" s="9">
        <v>4</v>
      </c>
      <c r="J24" s="9">
        <v>5</v>
      </c>
      <c r="K24" s="9">
        <v>5</v>
      </c>
      <c r="L24" s="9">
        <v>56.7</v>
      </c>
      <c r="M24" s="9">
        <v>8</v>
      </c>
      <c r="N24" s="9">
        <v>9</v>
      </c>
      <c r="O24" s="9">
        <v>6</v>
      </c>
      <c r="P24" s="9">
        <v>7</v>
      </c>
      <c r="Q24" s="9">
        <v>7</v>
      </c>
      <c r="R24" s="9">
        <v>8</v>
      </c>
      <c r="S24" s="9">
        <v>5</v>
      </c>
      <c r="T24" s="9">
        <v>4</v>
      </c>
      <c r="U24" s="9">
        <v>4</v>
      </c>
      <c r="V24" s="9">
        <v>5</v>
      </c>
      <c r="W24" s="9">
        <v>55.4</v>
      </c>
      <c r="X24" s="9">
        <v>56</v>
      </c>
      <c r="Z24" s="9">
        <f t="shared" si="0"/>
        <v>2.319357716324718E-2</v>
      </c>
    </row>
    <row r="25" spans="1:26" ht="15.6" x14ac:dyDescent="0.3">
      <c r="A25" s="9" t="s">
        <v>6</v>
      </c>
      <c r="B25" s="9">
        <v>8</v>
      </c>
      <c r="C25" s="9">
        <v>6</v>
      </c>
      <c r="D25" s="9">
        <v>6</v>
      </c>
      <c r="E25" s="9">
        <v>7.5</v>
      </c>
      <c r="F25" s="9">
        <v>9</v>
      </c>
      <c r="G25" s="9">
        <v>7</v>
      </c>
      <c r="H25" s="9">
        <v>3</v>
      </c>
      <c r="I25" s="9">
        <v>4</v>
      </c>
      <c r="J25" s="9">
        <v>8</v>
      </c>
      <c r="K25" s="9">
        <v>5</v>
      </c>
      <c r="L25" s="9">
        <v>58.5</v>
      </c>
      <c r="M25" s="9">
        <v>4</v>
      </c>
      <c r="N25" s="9">
        <v>5</v>
      </c>
      <c r="O25" s="9">
        <v>5</v>
      </c>
      <c r="P25" s="9">
        <v>7.5</v>
      </c>
      <c r="Q25" s="9">
        <v>6</v>
      </c>
      <c r="R25" s="9">
        <v>7</v>
      </c>
      <c r="S25" s="9">
        <v>4</v>
      </c>
      <c r="T25" s="9">
        <v>4</v>
      </c>
      <c r="U25" s="9">
        <v>7</v>
      </c>
      <c r="V25" s="9">
        <v>5</v>
      </c>
      <c r="W25" s="9">
        <v>46</v>
      </c>
      <c r="X25" s="9">
        <v>52.3</v>
      </c>
      <c r="Z25" s="9">
        <f t="shared" si="0"/>
        <v>0.23923444976076555</v>
      </c>
    </row>
    <row r="26" spans="1:26" ht="15.6" x14ac:dyDescent="0.3">
      <c r="A26" s="9" t="s">
        <v>1</v>
      </c>
      <c r="B26" s="9">
        <v>10</v>
      </c>
      <c r="C26" s="9">
        <v>6</v>
      </c>
      <c r="D26" s="9">
        <v>7</v>
      </c>
      <c r="E26" s="9">
        <v>6.5</v>
      </c>
      <c r="F26" s="9">
        <v>7</v>
      </c>
      <c r="G26" s="9">
        <v>5</v>
      </c>
      <c r="H26" s="9">
        <v>3</v>
      </c>
      <c r="I26" s="9">
        <v>4</v>
      </c>
      <c r="J26" s="9">
        <v>4</v>
      </c>
      <c r="K26" s="9">
        <v>3</v>
      </c>
      <c r="L26" s="9">
        <v>51</v>
      </c>
      <c r="M26" s="9">
        <v>9</v>
      </c>
      <c r="N26" s="9">
        <v>6</v>
      </c>
      <c r="O26" s="9">
        <v>6</v>
      </c>
      <c r="P26" s="9">
        <v>6</v>
      </c>
      <c r="Q26" s="9">
        <v>8</v>
      </c>
      <c r="R26" s="9">
        <v>5</v>
      </c>
      <c r="S26" s="9">
        <v>3</v>
      </c>
      <c r="T26" s="9">
        <v>3</v>
      </c>
      <c r="U26" s="9">
        <v>5</v>
      </c>
      <c r="V26" s="9">
        <v>3</v>
      </c>
      <c r="W26" s="9">
        <v>48.8</v>
      </c>
      <c r="X26" s="9">
        <v>49.9</v>
      </c>
      <c r="Z26" s="9">
        <f t="shared" si="0"/>
        <v>4.4088176352705469E-2</v>
      </c>
    </row>
    <row r="27" spans="1:26" ht="15.6" x14ac:dyDescent="0.3">
      <c r="A27" s="9" t="s">
        <v>9</v>
      </c>
      <c r="B27" s="9">
        <v>3</v>
      </c>
      <c r="C27" s="9">
        <v>4</v>
      </c>
      <c r="D27" s="9">
        <v>6</v>
      </c>
      <c r="E27" s="9">
        <v>7</v>
      </c>
      <c r="F27" s="9">
        <v>5</v>
      </c>
      <c r="G27" s="9">
        <v>6</v>
      </c>
      <c r="H27" s="9">
        <v>5</v>
      </c>
      <c r="I27" s="9">
        <v>5</v>
      </c>
      <c r="J27" s="9">
        <v>5</v>
      </c>
      <c r="K27" s="9">
        <v>5</v>
      </c>
      <c r="L27" s="9">
        <v>44.6</v>
      </c>
      <c r="M27" s="9">
        <v>7</v>
      </c>
      <c r="N27" s="9">
        <v>4</v>
      </c>
      <c r="O27" s="9">
        <v>4</v>
      </c>
      <c r="P27" s="9">
        <v>6</v>
      </c>
      <c r="Q27" s="9">
        <v>5</v>
      </c>
      <c r="R27" s="9">
        <v>5</v>
      </c>
      <c r="S27" s="9">
        <v>4</v>
      </c>
      <c r="T27" s="9">
        <v>5</v>
      </c>
      <c r="U27" s="9">
        <v>5</v>
      </c>
      <c r="V27" s="9">
        <v>5</v>
      </c>
      <c r="W27" s="9">
        <v>47.9</v>
      </c>
      <c r="X27" s="9">
        <v>48.8</v>
      </c>
      <c r="Z27" s="9">
        <f t="shared" si="0"/>
        <v>7.1351351351351289E-2</v>
      </c>
    </row>
    <row r="28" spans="1:26" ht="15.6" x14ac:dyDescent="0.3">
      <c r="A28" s="9" t="s">
        <v>127</v>
      </c>
      <c r="B28" s="9">
        <v>7</v>
      </c>
      <c r="C28" s="9">
        <v>6</v>
      </c>
      <c r="D28" s="9">
        <v>5</v>
      </c>
      <c r="E28" s="9">
        <v>6.5</v>
      </c>
      <c r="F28" s="9">
        <v>6</v>
      </c>
      <c r="G28" s="9">
        <v>5</v>
      </c>
      <c r="H28" s="9">
        <v>3</v>
      </c>
      <c r="I28" s="9">
        <v>4</v>
      </c>
      <c r="J28" s="9">
        <v>4</v>
      </c>
      <c r="K28" s="9">
        <v>3</v>
      </c>
      <c r="L28" s="9">
        <v>44.8</v>
      </c>
      <c r="M28" s="9">
        <v>7</v>
      </c>
      <c r="N28" s="9">
        <v>6</v>
      </c>
      <c r="O28" s="9">
        <v>6</v>
      </c>
      <c r="P28" s="9">
        <v>6</v>
      </c>
      <c r="Q28" s="9">
        <v>6</v>
      </c>
      <c r="R28" s="9">
        <v>5</v>
      </c>
      <c r="S28" s="9">
        <v>3</v>
      </c>
      <c r="T28" s="9">
        <v>4</v>
      </c>
      <c r="U28" s="9">
        <v>4</v>
      </c>
      <c r="V28" s="9">
        <v>3</v>
      </c>
      <c r="W28" s="9">
        <v>46.3</v>
      </c>
      <c r="X28" s="9">
        <v>45.5</v>
      </c>
      <c r="Z28" s="9">
        <f t="shared" si="0"/>
        <v>3.2930845225027441E-2</v>
      </c>
    </row>
    <row r="29" spans="1:26" ht="15.6" x14ac:dyDescent="0.3">
      <c r="A29" s="9" t="s">
        <v>11</v>
      </c>
      <c r="B29" s="9">
        <v>0</v>
      </c>
      <c r="C29" s="9">
        <v>6</v>
      </c>
      <c r="D29" s="9">
        <v>3</v>
      </c>
      <c r="E29" s="9">
        <v>8</v>
      </c>
      <c r="F29" s="9">
        <v>7</v>
      </c>
      <c r="G29" s="9">
        <v>7</v>
      </c>
      <c r="H29" s="9">
        <v>5</v>
      </c>
      <c r="I29" s="9">
        <v>7</v>
      </c>
      <c r="J29" s="9">
        <v>7</v>
      </c>
      <c r="K29" s="9">
        <v>8</v>
      </c>
      <c r="L29" s="9">
        <v>38.799999999999997</v>
      </c>
      <c r="M29" s="9">
        <v>2</v>
      </c>
      <c r="N29" s="9">
        <v>6</v>
      </c>
      <c r="O29" s="9">
        <v>0</v>
      </c>
      <c r="P29" s="9">
        <v>7</v>
      </c>
      <c r="Q29" s="9">
        <v>7</v>
      </c>
      <c r="R29" s="9">
        <v>5</v>
      </c>
      <c r="S29" s="9">
        <v>8</v>
      </c>
      <c r="T29" s="9">
        <v>6</v>
      </c>
      <c r="U29" s="9">
        <v>6</v>
      </c>
      <c r="V29" s="9">
        <v>8</v>
      </c>
      <c r="W29" s="9">
        <v>39.6</v>
      </c>
      <c r="X29" s="9">
        <v>45.4</v>
      </c>
      <c r="Z29" s="9">
        <f t="shared" si="0"/>
        <v>2.0408163265306228E-2</v>
      </c>
    </row>
    <row r="30" spans="1:26" ht="15.6" x14ac:dyDescent="0.3">
      <c r="A30" s="9" t="s">
        <v>10</v>
      </c>
      <c r="B30" s="9">
        <v>2</v>
      </c>
      <c r="C30" s="9">
        <v>5</v>
      </c>
      <c r="D30" s="9">
        <v>5</v>
      </c>
      <c r="E30" s="9">
        <v>7</v>
      </c>
      <c r="F30" s="9">
        <v>6</v>
      </c>
      <c r="G30" s="9">
        <v>6</v>
      </c>
      <c r="H30" s="9">
        <v>5</v>
      </c>
      <c r="I30" s="9">
        <v>5</v>
      </c>
      <c r="J30" s="9">
        <v>6</v>
      </c>
      <c r="K30" s="9">
        <v>8</v>
      </c>
      <c r="L30" s="9">
        <v>43.3</v>
      </c>
      <c r="M30" s="9">
        <v>2</v>
      </c>
      <c r="N30" s="9">
        <v>7</v>
      </c>
      <c r="O30" s="9">
        <v>4</v>
      </c>
      <c r="P30" s="9">
        <v>6</v>
      </c>
      <c r="Q30" s="9">
        <v>6</v>
      </c>
      <c r="R30" s="9">
        <v>8</v>
      </c>
      <c r="S30" s="9">
        <v>4</v>
      </c>
      <c r="T30" s="9">
        <v>6</v>
      </c>
      <c r="U30" s="9">
        <v>6</v>
      </c>
      <c r="V30" s="9">
        <v>8</v>
      </c>
      <c r="W30" s="9">
        <v>41.3</v>
      </c>
      <c r="X30" s="9">
        <v>42.3</v>
      </c>
      <c r="Z30" s="9">
        <f t="shared" si="0"/>
        <v>4.7281323877068564E-2</v>
      </c>
    </row>
    <row r="31" spans="1:26" ht="15.6" x14ac:dyDescent="0.3">
      <c r="A31" s="9" t="s">
        <v>8</v>
      </c>
      <c r="B31" s="9">
        <v>1</v>
      </c>
      <c r="C31" s="9">
        <v>3</v>
      </c>
      <c r="D31" s="9">
        <v>5</v>
      </c>
      <c r="E31" s="9">
        <v>7</v>
      </c>
      <c r="F31" s="9">
        <v>7</v>
      </c>
      <c r="G31" s="9">
        <v>7</v>
      </c>
      <c r="H31" s="9">
        <v>3</v>
      </c>
      <c r="I31" s="9">
        <v>6</v>
      </c>
      <c r="J31" s="9">
        <v>7</v>
      </c>
      <c r="K31" s="9">
        <v>8</v>
      </c>
      <c r="L31" s="9">
        <v>34.200000000000003</v>
      </c>
      <c r="M31" s="9">
        <v>1</v>
      </c>
      <c r="N31" s="9">
        <v>3</v>
      </c>
      <c r="O31" s="9">
        <v>5</v>
      </c>
      <c r="P31" s="9">
        <v>6.5</v>
      </c>
      <c r="Q31" s="9">
        <v>7</v>
      </c>
      <c r="R31" s="9">
        <v>7</v>
      </c>
      <c r="S31" s="9">
        <v>3</v>
      </c>
      <c r="T31" s="9">
        <v>7</v>
      </c>
      <c r="U31" s="9">
        <v>7</v>
      </c>
      <c r="V31" s="9">
        <v>7</v>
      </c>
      <c r="W31" s="9">
        <v>34</v>
      </c>
      <c r="X31" s="9">
        <v>34.1</v>
      </c>
      <c r="Z31" s="9">
        <f t="shared" si="0"/>
        <v>5.8651026392962709E-3</v>
      </c>
    </row>
    <row r="33" spans="1:26" ht="15.6" x14ac:dyDescent="0.3">
      <c r="A33" s="16" t="s">
        <v>188</v>
      </c>
      <c r="B33" s="16">
        <f>_xlfn.VAR.P(B2:B31)</f>
        <v>8.0933333333333337</v>
      </c>
      <c r="C33" s="16">
        <f t="shared" ref="C33:W33" si="1">_xlfn.VAR.P(C2:C31)</f>
        <v>3.2622222222222224</v>
      </c>
      <c r="D33" s="16">
        <f t="shared" si="1"/>
        <v>1.9955555555555555</v>
      </c>
      <c r="E33" s="16">
        <f t="shared" si="1"/>
        <v>0.55138888888888882</v>
      </c>
      <c r="F33" s="16">
        <f t="shared" si="1"/>
        <v>1.1833333333333333</v>
      </c>
      <c r="G33" s="16">
        <f t="shared" si="1"/>
        <v>0.86222222222222222</v>
      </c>
      <c r="H33" s="16">
        <f t="shared" si="1"/>
        <v>5.1733333333333329</v>
      </c>
      <c r="I33" s="16">
        <f t="shared" si="1"/>
        <v>2.9388888888888891</v>
      </c>
      <c r="J33" s="16">
        <f t="shared" si="1"/>
        <v>2.0933333333333333</v>
      </c>
      <c r="K33" s="16">
        <f t="shared" si="1"/>
        <v>3.81</v>
      </c>
      <c r="L33" s="16">
        <f t="shared" si="1"/>
        <v>198.03712222222291</v>
      </c>
      <c r="M33" s="16">
        <f t="shared" si="1"/>
        <v>5.6888888888888891</v>
      </c>
      <c r="N33" s="16">
        <f t="shared" si="1"/>
        <v>3.0222222222222221</v>
      </c>
      <c r="O33" s="16">
        <f t="shared" si="1"/>
        <v>3.4488888888888889</v>
      </c>
      <c r="P33" s="16">
        <f t="shared" si="1"/>
        <v>1.0266666666666666</v>
      </c>
      <c r="Q33" s="16">
        <f t="shared" si="1"/>
        <v>1.298888888888889</v>
      </c>
      <c r="R33" s="16">
        <f t="shared" si="1"/>
        <v>2.6266666666666665</v>
      </c>
      <c r="S33" s="16">
        <f t="shared" si="1"/>
        <v>5.112222222222222</v>
      </c>
      <c r="T33" s="16">
        <f t="shared" si="1"/>
        <v>3.4622222222222221</v>
      </c>
      <c r="U33" s="16">
        <f t="shared" si="1"/>
        <v>2.4455555555555555</v>
      </c>
      <c r="V33" s="16">
        <f t="shared" si="1"/>
        <v>4.4988888888888887</v>
      </c>
      <c r="W33" s="16">
        <f t="shared" si="1"/>
        <v>188.61565555555694</v>
      </c>
      <c r="X33" s="16">
        <f>AVERAGE(X2:X31)</f>
        <v>65.086666666666659</v>
      </c>
      <c r="Z33" s="16">
        <f>SUM(Z2:Z31)</f>
        <v>1.6984742425901327</v>
      </c>
    </row>
    <row r="34" spans="1:26" ht="15.6" x14ac:dyDescent="0.3">
      <c r="A34" s="16" t="s">
        <v>132</v>
      </c>
      <c r="B34" s="16"/>
      <c r="C34" s="16"/>
      <c r="D34" s="16"/>
      <c r="E34" s="16"/>
      <c r="F34" s="16"/>
      <c r="G34" s="16"/>
      <c r="H34" s="16"/>
      <c r="I34" s="16"/>
      <c r="J34" s="16"/>
      <c r="K34" s="16"/>
      <c r="L34" s="16">
        <v>30</v>
      </c>
      <c r="M34" s="16"/>
      <c r="N34" s="16"/>
      <c r="O34" s="16"/>
      <c r="P34" s="16"/>
      <c r="Q34" s="16"/>
      <c r="R34" s="16"/>
      <c r="S34" s="16"/>
      <c r="T34" s="16"/>
      <c r="U34" s="16"/>
      <c r="V34" s="16"/>
      <c r="W34" s="16">
        <v>30</v>
      </c>
      <c r="X34" s="16">
        <f>SQRT(_xlfn.VAR.P(X2:X31))</f>
        <v>13.317425510293727</v>
      </c>
      <c r="Z34" s="16">
        <v>30</v>
      </c>
    </row>
    <row r="35" spans="1:26" ht="15.6" x14ac:dyDescent="0.3">
      <c r="A35" s="16" t="s">
        <v>189</v>
      </c>
      <c r="B35" s="16">
        <f>ROUND((L35+W35)/2,3)</f>
        <v>0.86699999999999999</v>
      </c>
      <c r="C35" s="16">
        <f>ROUNDUP(ABS((W35-L35)/2),3)</f>
        <v>1.2E-2</v>
      </c>
      <c r="D35" s="16"/>
      <c r="E35" s="16"/>
      <c r="F35" s="16"/>
      <c r="G35" s="16"/>
      <c r="H35" s="16"/>
      <c r="I35" s="16"/>
      <c r="J35" s="16"/>
      <c r="K35" s="16"/>
      <c r="L35" s="16">
        <f>(1-(SUM(B33:K33)/L33))*(L34/(L34-1))</f>
        <v>0.87796241166433797</v>
      </c>
      <c r="M35" s="16"/>
      <c r="N35" s="16"/>
      <c r="O35" s="16"/>
      <c r="P35" s="16"/>
      <c r="Q35" s="16"/>
      <c r="R35" s="16"/>
      <c r="S35" s="16"/>
      <c r="T35" s="16"/>
      <c r="U35" s="16"/>
      <c r="V35" s="16"/>
      <c r="W35" s="16">
        <f>(1-(SUM(M33:V33)/W33))*(W34/(W34-1))</f>
        <v>0.8555139358066286</v>
      </c>
      <c r="X35" s="16">
        <f>MAX(X2:X31)</f>
        <v>87.9</v>
      </c>
      <c r="Z35" s="16">
        <f>Z33/Z34</f>
        <v>5.6615808086337753E-2</v>
      </c>
    </row>
    <row r="36" spans="1:26" ht="15.6" x14ac:dyDescent="0.3">
      <c r="A36" s="16" t="s">
        <v>191</v>
      </c>
      <c r="B36" s="16">
        <f>Z35</f>
        <v>5.6615808086337753E-2</v>
      </c>
      <c r="X36" s="16">
        <f>MIN(X2:X31)</f>
        <v>34.1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E10F1-F84C-498E-966E-FBFD687E78C7}">
  <dimension ref="A1:N35"/>
  <sheetViews>
    <sheetView tabSelected="1" zoomScale="85" zoomScaleNormal="85" workbookViewId="0">
      <selection activeCell="AL5" sqref="AL5"/>
    </sheetView>
  </sheetViews>
  <sheetFormatPr defaultRowHeight="14.4" x14ac:dyDescent="0.3"/>
  <cols>
    <col min="1" max="1" width="37.109375" bestFit="1" customWidth="1"/>
    <col min="2" max="2" width="9.44140625" bestFit="1" customWidth="1"/>
    <col min="3" max="3" width="13.33203125" bestFit="1" customWidth="1"/>
    <col min="4" max="4" width="8.33203125" bestFit="1" customWidth="1"/>
    <col min="5" max="5" width="26.33203125" bestFit="1" customWidth="1"/>
    <col min="6" max="6" width="16.6640625" bestFit="1" customWidth="1"/>
    <col min="7" max="7" width="13.33203125" bestFit="1" customWidth="1"/>
    <col min="8" max="8" width="13.5546875" bestFit="1" customWidth="1"/>
    <col min="9" max="9" width="17.77734375" bestFit="1" customWidth="1"/>
    <col min="10" max="10" width="9.6640625" bestFit="1" customWidth="1"/>
    <col min="11" max="11" width="12.109375" bestFit="1" customWidth="1"/>
    <col min="12" max="12" width="20.88671875" bestFit="1" customWidth="1"/>
    <col min="13" max="13" width="11.33203125" bestFit="1" customWidth="1"/>
    <col min="14" max="14" width="11.77734375" bestFit="1" customWidth="1"/>
    <col min="15" max="15" width="11.33203125" bestFit="1" customWidth="1"/>
  </cols>
  <sheetData>
    <row r="1" spans="1:14" ht="15.6" x14ac:dyDescent="0.3">
      <c r="A1" s="9" t="s">
        <v>61</v>
      </c>
      <c r="B1" s="9" t="s">
        <v>174</v>
      </c>
      <c r="C1" s="9" t="s">
        <v>181</v>
      </c>
      <c r="D1" s="9" t="s">
        <v>182</v>
      </c>
      <c r="E1" s="9" t="s">
        <v>200</v>
      </c>
      <c r="F1" s="9" t="s">
        <v>204</v>
      </c>
      <c r="G1" s="9" t="s">
        <v>207</v>
      </c>
      <c r="H1" s="9" t="s">
        <v>208</v>
      </c>
      <c r="I1" s="9" t="s">
        <v>209</v>
      </c>
      <c r="J1" s="9" t="s">
        <v>213</v>
      </c>
      <c r="K1" s="9" t="s">
        <v>214</v>
      </c>
      <c r="L1" s="9" t="s">
        <v>215</v>
      </c>
      <c r="M1" s="9" t="s">
        <v>222</v>
      </c>
      <c r="N1" t="s">
        <v>401</v>
      </c>
    </row>
    <row r="2" spans="1:14" ht="15.6" x14ac:dyDescent="0.3">
      <c r="A2" s="9" t="s">
        <v>0</v>
      </c>
      <c r="B2" s="9" t="s">
        <v>175</v>
      </c>
      <c r="C2" s="9">
        <v>71.3</v>
      </c>
      <c r="D2" s="9">
        <v>5</v>
      </c>
      <c r="E2" s="9" t="s">
        <v>203</v>
      </c>
      <c r="F2" s="9" t="s">
        <v>25</v>
      </c>
      <c r="G2" s="9">
        <v>54</v>
      </c>
      <c r="H2" s="9">
        <v>3.8</v>
      </c>
      <c r="I2" s="9">
        <v>3.7</v>
      </c>
      <c r="J2" s="9">
        <v>11</v>
      </c>
      <c r="K2" s="9">
        <v>0</v>
      </c>
      <c r="L2" s="9">
        <v>121</v>
      </c>
      <c r="M2" s="9" t="s">
        <v>223</v>
      </c>
      <c r="N2">
        <v>0.4</v>
      </c>
    </row>
    <row r="3" spans="1:14" ht="15.6" x14ac:dyDescent="0.3">
      <c r="A3" s="9" t="s">
        <v>126</v>
      </c>
      <c r="B3" s="9" t="s">
        <v>175</v>
      </c>
      <c r="C3" s="9">
        <v>67.8</v>
      </c>
      <c r="D3" s="9">
        <v>3</v>
      </c>
      <c r="E3" s="9" t="s">
        <v>203</v>
      </c>
      <c r="F3" s="9" t="s">
        <v>25</v>
      </c>
      <c r="G3" s="9">
        <v>54.207999999999998</v>
      </c>
      <c r="H3" s="9">
        <v>2.4</v>
      </c>
      <c r="I3" s="9">
        <v>2.6</v>
      </c>
      <c r="J3" s="9">
        <v>14</v>
      </c>
      <c r="K3" s="9">
        <v>1</v>
      </c>
      <c r="L3" s="9">
        <v>169</v>
      </c>
      <c r="M3" s="9" t="s">
        <v>223</v>
      </c>
      <c r="N3">
        <v>0.88</v>
      </c>
    </row>
    <row r="4" spans="1:14" ht="15.6" x14ac:dyDescent="0.3">
      <c r="A4" s="9" t="s">
        <v>20</v>
      </c>
      <c r="B4" s="9" t="s">
        <v>175</v>
      </c>
      <c r="C4" s="9">
        <v>65.599999999999994</v>
      </c>
      <c r="D4" s="9">
        <v>6</v>
      </c>
      <c r="E4" s="9" t="s">
        <v>201</v>
      </c>
      <c r="F4" s="9" t="s">
        <v>26</v>
      </c>
      <c r="G4" s="9">
        <v>51.216000000000001</v>
      </c>
      <c r="H4" s="9">
        <v>2</v>
      </c>
      <c r="I4" s="9">
        <v>4.3</v>
      </c>
      <c r="J4" s="9">
        <v>15</v>
      </c>
      <c r="K4" s="9">
        <v>2</v>
      </c>
      <c r="L4" s="9">
        <v>169</v>
      </c>
      <c r="M4" s="9" t="s">
        <v>223</v>
      </c>
      <c r="N4">
        <v>0.88</v>
      </c>
    </row>
    <row r="5" spans="1:14" ht="15.6" x14ac:dyDescent="0.3">
      <c r="A5" s="9" t="s">
        <v>24</v>
      </c>
      <c r="B5" s="9" t="s">
        <v>175</v>
      </c>
      <c r="C5" s="9">
        <v>87.9</v>
      </c>
      <c r="D5" s="9">
        <v>6</v>
      </c>
      <c r="E5" s="9" t="s">
        <v>201</v>
      </c>
      <c r="F5" s="9" t="s">
        <v>25</v>
      </c>
      <c r="G5" s="9">
        <v>43.068000000000005</v>
      </c>
      <c r="H5" s="9">
        <v>1.2</v>
      </c>
      <c r="I5" s="9">
        <v>3.1</v>
      </c>
      <c r="J5" s="9">
        <v>0</v>
      </c>
      <c r="K5" s="9">
        <v>3</v>
      </c>
      <c r="L5" s="9">
        <v>9</v>
      </c>
      <c r="M5" s="9" t="s">
        <v>223</v>
      </c>
      <c r="N5">
        <v>0.7400000000000001</v>
      </c>
    </row>
    <row r="6" spans="1:14" ht="15.6" x14ac:dyDescent="0.3">
      <c r="A6" s="9" t="s">
        <v>17</v>
      </c>
      <c r="B6" s="9" t="s">
        <v>175</v>
      </c>
      <c r="C6" s="9">
        <v>84.2</v>
      </c>
      <c r="D6" s="9">
        <v>3</v>
      </c>
      <c r="E6" s="9" t="s">
        <v>203</v>
      </c>
      <c r="F6" s="9" t="s">
        <v>26</v>
      </c>
      <c r="G6" s="9">
        <v>53.5</v>
      </c>
      <c r="H6" s="9">
        <v>1.3</v>
      </c>
      <c r="I6" s="9">
        <v>2.1</v>
      </c>
      <c r="J6" s="9">
        <v>2</v>
      </c>
      <c r="K6" s="9">
        <v>4</v>
      </c>
      <c r="L6" s="9">
        <v>4</v>
      </c>
      <c r="M6" s="9" t="s">
        <v>223</v>
      </c>
      <c r="N6">
        <v>1</v>
      </c>
    </row>
    <row r="7" spans="1:14" ht="15.6" x14ac:dyDescent="0.3">
      <c r="A7" s="9" t="s">
        <v>21</v>
      </c>
      <c r="B7" s="9" t="s">
        <v>175</v>
      </c>
      <c r="C7" s="9">
        <v>62.4</v>
      </c>
      <c r="D7" s="9">
        <v>10</v>
      </c>
      <c r="E7" s="9" t="s">
        <v>201</v>
      </c>
      <c r="F7" s="9" t="s">
        <v>25</v>
      </c>
      <c r="G7" s="9">
        <v>50.8</v>
      </c>
      <c r="H7" s="9">
        <v>1.3</v>
      </c>
      <c r="I7" s="9">
        <v>0.4</v>
      </c>
      <c r="J7" s="9">
        <v>19</v>
      </c>
      <c r="K7" s="9">
        <v>5</v>
      </c>
      <c r="L7" s="9">
        <v>196</v>
      </c>
      <c r="M7" s="9" t="s">
        <v>223</v>
      </c>
      <c r="N7">
        <v>1</v>
      </c>
    </row>
    <row r="8" spans="1:14" ht="15.6" x14ac:dyDescent="0.3">
      <c r="A8" s="9" t="s">
        <v>125</v>
      </c>
      <c r="B8" s="9" t="s">
        <v>175</v>
      </c>
      <c r="C8" s="9">
        <v>77.8</v>
      </c>
      <c r="D8" s="9">
        <v>6</v>
      </c>
      <c r="E8" s="9" t="s">
        <v>201</v>
      </c>
      <c r="F8" s="9" t="s">
        <v>25</v>
      </c>
      <c r="G8" s="9">
        <v>26.39</v>
      </c>
      <c r="H8" s="9">
        <v>1.4</v>
      </c>
      <c r="I8" s="9">
        <v>5.5</v>
      </c>
      <c r="J8" s="9">
        <v>4</v>
      </c>
      <c r="K8" s="9">
        <v>7</v>
      </c>
      <c r="L8" s="9">
        <v>9</v>
      </c>
      <c r="M8" s="9" t="s">
        <v>223</v>
      </c>
      <c r="N8">
        <v>0.65</v>
      </c>
    </row>
    <row r="9" spans="1:14" ht="15.6" x14ac:dyDescent="0.3">
      <c r="A9" s="9" t="s">
        <v>16</v>
      </c>
      <c r="B9" s="9" t="s">
        <v>175</v>
      </c>
      <c r="C9" s="9">
        <v>82.5</v>
      </c>
      <c r="D9" s="9">
        <v>10</v>
      </c>
      <c r="E9" s="9" t="s">
        <v>203</v>
      </c>
      <c r="F9" s="9" t="s">
        <v>25</v>
      </c>
      <c r="G9" s="9">
        <v>37.9</v>
      </c>
      <c r="H9" s="9">
        <v>2.1</v>
      </c>
      <c r="I9" s="9">
        <v>1</v>
      </c>
      <c r="J9" s="9">
        <v>3</v>
      </c>
      <c r="K9" s="9">
        <v>8</v>
      </c>
      <c r="L9" s="9">
        <v>25</v>
      </c>
      <c r="M9" s="9" t="s">
        <v>223</v>
      </c>
      <c r="N9">
        <v>1</v>
      </c>
    </row>
    <row r="10" spans="1:14" ht="15.6" x14ac:dyDescent="0.3">
      <c r="A10" s="9" t="s">
        <v>14</v>
      </c>
      <c r="B10" s="9" t="s">
        <v>175</v>
      </c>
      <c r="C10" s="9">
        <v>73.2</v>
      </c>
      <c r="D10" s="9">
        <v>6</v>
      </c>
      <c r="E10" s="9" t="s">
        <v>203</v>
      </c>
      <c r="F10" s="9" t="s">
        <v>25</v>
      </c>
      <c r="G10" s="9">
        <v>33.367999999999995</v>
      </c>
      <c r="H10" s="9">
        <v>2.6</v>
      </c>
      <c r="I10" s="9">
        <v>1.1000000000000001</v>
      </c>
      <c r="J10" s="9">
        <v>8</v>
      </c>
      <c r="K10" s="9">
        <v>9</v>
      </c>
      <c r="L10" s="9">
        <v>1</v>
      </c>
      <c r="M10" s="9" t="s">
        <v>223</v>
      </c>
      <c r="N10">
        <v>0.96999999999999986</v>
      </c>
    </row>
    <row r="11" spans="1:14" ht="15.6" x14ac:dyDescent="0.3">
      <c r="A11" s="9" t="s">
        <v>19</v>
      </c>
      <c r="B11" s="9" t="s">
        <v>175</v>
      </c>
      <c r="C11" s="9">
        <v>75.400000000000006</v>
      </c>
      <c r="D11" s="9">
        <v>11</v>
      </c>
      <c r="E11" s="9" t="s">
        <v>201</v>
      </c>
      <c r="F11" s="9" t="s">
        <v>286</v>
      </c>
      <c r="G11" s="9">
        <v>33.5</v>
      </c>
      <c r="H11" s="9">
        <v>2.2000000000000002</v>
      </c>
      <c r="I11" s="9">
        <v>1.5</v>
      </c>
      <c r="J11" s="9">
        <v>5</v>
      </c>
      <c r="K11" s="9">
        <v>10</v>
      </c>
      <c r="L11" s="9">
        <v>25</v>
      </c>
      <c r="M11" s="9" t="s">
        <v>223</v>
      </c>
      <c r="N11">
        <v>1</v>
      </c>
    </row>
    <row r="12" spans="1:14" ht="15.6" x14ac:dyDescent="0.3">
      <c r="A12" s="9" t="s">
        <v>124</v>
      </c>
      <c r="B12" s="9" t="s">
        <v>175</v>
      </c>
      <c r="C12" s="9">
        <v>71.5</v>
      </c>
      <c r="D12" s="9">
        <v>23</v>
      </c>
      <c r="E12" s="9" t="s">
        <v>201</v>
      </c>
      <c r="F12" s="9" t="s">
        <v>27</v>
      </c>
      <c r="G12" s="9">
        <v>27.917999999999999</v>
      </c>
      <c r="H12" s="9">
        <v>1.4</v>
      </c>
      <c r="I12" s="9">
        <v>0.8</v>
      </c>
      <c r="J12" s="9">
        <v>10</v>
      </c>
      <c r="K12" s="9">
        <v>11</v>
      </c>
      <c r="L12" s="9">
        <v>1</v>
      </c>
      <c r="M12" s="9" t="s">
        <v>223</v>
      </c>
      <c r="N12">
        <v>0.99</v>
      </c>
    </row>
    <row r="13" spans="1:14" ht="15.6" x14ac:dyDescent="0.3">
      <c r="A13" s="9" t="s">
        <v>18</v>
      </c>
      <c r="B13" s="9" t="s">
        <v>175</v>
      </c>
      <c r="C13" s="9">
        <v>60.6</v>
      </c>
      <c r="D13" s="9">
        <v>4</v>
      </c>
      <c r="E13" s="9" t="s">
        <v>201</v>
      </c>
      <c r="F13" s="9" t="s">
        <v>26</v>
      </c>
      <c r="G13" s="9">
        <v>27.422999999999998</v>
      </c>
      <c r="H13" s="9">
        <v>1.5</v>
      </c>
      <c r="I13" s="9">
        <v>0.4</v>
      </c>
      <c r="J13" s="9">
        <v>20</v>
      </c>
      <c r="K13" s="9">
        <v>12</v>
      </c>
      <c r="L13" s="9">
        <v>64</v>
      </c>
      <c r="M13" s="9" t="s">
        <v>223</v>
      </c>
      <c r="N13">
        <v>0.99</v>
      </c>
    </row>
    <row r="14" spans="1:14" ht="15.6" x14ac:dyDescent="0.3">
      <c r="A14" s="9" t="s">
        <v>11</v>
      </c>
      <c r="B14" s="9" t="s">
        <v>175</v>
      </c>
      <c r="C14" s="9">
        <v>45.4</v>
      </c>
      <c r="D14" s="9">
        <v>16</v>
      </c>
      <c r="E14" s="9" t="s">
        <v>367</v>
      </c>
      <c r="F14" s="9" t="s">
        <v>25</v>
      </c>
      <c r="G14" s="9">
        <v>25.7</v>
      </c>
      <c r="H14" s="9">
        <v>3.6</v>
      </c>
      <c r="I14" s="9">
        <v>1.2</v>
      </c>
      <c r="J14" s="9">
        <v>27</v>
      </c>
      <c r="K14" s="9">
        <v>13</v>
      </c>
      <c r="L14" s="9">
        <v>196</v>
      </c>
      <c r="M14" s="9" t="s">
        <v>223</v>
      </c>
      <c r="N14">
        <v>1</v>
      </c>
    </row>
    <row r="15" spans="1:14" ht="15.6" x14ac:dyDescent="0.3">
      <c r="A15" s="9" t="s">
        <v>5</v>
      </c>
      <c r="B15" s="9" t="s">
        <v>175</v>
      </c>
      <c r="C15" s="9">
        <v>64.400000000000006</v>
      </c>
      <c r="D15" s="9">
        <v>14</v>
      </c>
      <c r="E15" s="9" t="s">
        <v>201</v>
      </c>
      <c r="F15" s="9" t="s">
        <v>26</v>
      </c>
      <c r="G15" s="9">
        <v>25</v>
      </c>
      <c r="H15" s="9">
        <v>2.5</v>
      </c>
      <c r="I15" s="9">
        <v>0.7</v>
      </c>
      <c r="J15" s="9">
        <v>17</v>
      </c>
      <c r="K15" s="9">
        <v>14</v>
      </c>
      <c r="L15" s="9">
        <v>9</v>
      </c>
      <c r="M15" s="9" t="s">
        <v>223</v>
      </c>
      <c r="N15">
        <v>1</v>
      </c>
    </row>
    <row r="16" spans="1:14" ht="15.6" x14ac:dyDescent="0.3">
      <c r="A16" s="9" t="s">
        <v>13</v>
      </c>
      <c r="B16" s="9" t="s">
        <v>175</v>
      </c>
      <c r="C16" s="9">
        <v>65.400000000000006</v>
      </c>
      <c r="D16" s="9">
        <v>11</v>
      </c>
      <c r="E16" s="9" t="s">
        <v>203</v>
      </c>
      <c r="F16" s="9" t="s">
        <v>25</v>
      </c>
      <c r="G16" s="9">
        <v>21.808</v>
      </c>
      <c r="H16" s="9">
        <v>2.2000000000000002</v>
      </c>
      <c r="I16" s="9">
        <v>1.9</v>
      </c>
      <c r="J16" s="9">
        <v>16</v>
      </c>
      <c r="K16" s="9">
        <v>15</v>
      </c>
      <c r="L16" s="9">
        <v>1</v>
      </c>
      <c r="M16" s="9" t="s">
        <v>223</v>
      </c>
      <c r="N16">
        <v>0.94000000000000006</v>
      </c>
    </row>
    <row r="17" spans="1:14" ht="15.6" x14ac:dyDescent="0.3">
      <c r="A17" s="9" t="s">
        <v>4</v>
      </c>
      <c r="B17" s="9" t="s">
        <v>175</v>
      </c>
      <c r="C17" s="9">
        <v>56</v>
      </c>
      <c r="D17" s="9">
        <v>15</v>
      </c>
      <c r="E17" s="9" t="s">
        <v>201</v>
      </c>
      <c r="F17" s="9" t="s">
        <v>26</v>
      </c>
      <c r="G17" s="9">
        <v>17.225999999999999</v>
      </c>
      <c r="H17" s="9">
        <v>3.1</v>
      </c>
      <c r="I17" s="9">
        <v>0.8</v>
      </c>
      <c r="J17" s="9">
        <v>22</v>
      </c>
      <c r="K17" s="9">
        <v>16</v>
      </c>
      <c r="L17" s="9">
        <v>36</v>
      </c>
      <c r="M17" s="9" t="s">
        <v>223</v>
      </c>
      <c r="N17">
        <v>0.99</v>
      </c>
    </row>
    <row r="18" spans="1:14" ht="15.6" x14ac:dyDescent="0.3">
      <c r="A18" s="9" t="s">
        <v>6</v>
      </c>
      <c r="B18" s="9" t="s">
        <v>175</v>
      </c>
      <c r="C18" s="9">
        <v>52.3</v>
      </c>
      <c r="D18" s="9">
        <v>10</v>
      </c>
      <c r="E18" s="9" t="s">
        <v>203</v>
      </c>
      <c r="F18" s="9" t="s">
        <v>25</v>
      </c>
      <c r="G18" s="9">
        <v>11.778</v>
      </c>
      <c r="H18" s="9">
        <v>3</v>
      </c>
      <c r="I18" s="9">
        <v>2.1</v>
      </c>
      <c r="J18" s="9">
        <v>23</v>
      </c>
      <c r="K18" s="9">
        <v>18</v>
      </c>
      <c r="L18" s="9">
        <v>25</v>
      </c>
      <c r="M18" s="9" t="s">
        <v>223</v>
      </c>
      <c r="N18">
        <v>0.78</v>
      </c>
    </row>
    <row r="19" spans="1:14" ht="15.6" x14ac:dyDescent="0.3">
      <c r="A19" s="9" t="s">
        <v>10</v>
      </c>
      <c r="B19" s="9" t="s">
        <v>175</v>
      </c>
      <c r="C19" s="9">
        <v>42.3</v>
      </c>
      <c r="D19" s="9">
        <v>20</v>
      </c>
      <c r="E19" s="9" t="s">
        <v>201</v>
      </c>
      <c r="F19" s="9" t="s">
        <v>27</v>
      </c>
      <c r="G19" s="9">
        <v>12</v>
      </c>
      <c r="H19" s="9">
        <v>3.5</v>
      </c>
      <c r="I19" s="9">
        <v>1</v>
      </c>
      <c r="J19" s="9">
        <v>28</v>
      </c>
      <c r="K19" s="9">
        <v>19</v>
      </c>
      <c r="L19" s="9">
        <v>81</v>
      </c>
      <c r="M19" s="9" t="s">
        <v>223</v>
      </c>
      <c r="N19">
        <v>1</v>
      </c>
    </row>
    <row r="20" spans="1:14" ht="15.6" x14ac:dyDescent="0.3">
      <c r="A20" s="9" t="s">
        <v>9</v>
      </c>
      <c r="B20" s="9" t="s">
        <v>175</v>
      </c>
      <c r="C20" s="9">
        <v>48.8</v>
      </c>
      <c r="D20" s="9">
        <v>3</v>
      </c>
      <c r="E20" s="9" t="s">
        <v>366</v>
      </c>
      <c r="F20" s="9" t="s">
        <v>25</v>
      </c>
      <c r="G20" s="9">
        <v>11.3</v>
      </c>
      <c r="H20" s="9">
        <v>2</v>
      </c>
      <c r="I20" s="9">
        <v>0.5</v>
      </c>
      <c r="J20" s="9">
        <v>25</v>
      </c>
      <c r="K20" s="9">
        <v>20</v>
      </c>
      <c r="L20" s="9">
        <v>25</v>
      </c>
      <c r="M20" s="9" t="s">
        <v>223</v>
      </c>
      <c r="N20">
        <v>1</v>
      </c>
    </row>
    <row r="21" spans="1:14" ht="15.6" x14ac:dyDescent="0.3">
      <c r="A21" s="9" t="s">
        <v>7</v>
      </c>
      <c r="B21" s="9" t="s">
        <v>175</v>
      </c>
      <c r="C21" s="9">
        <v>73.5</v>
      </c>
      <c r="D21" s="9">
        <v>6</v>
      </c>
      <c r="E21" s="9" t="s">
        <v>201</v>
      </c>
      <c r="F21" s="9" t="s">
        <v>27</v>
      </c>
      <c r="G21" s="9">
        <v>9.9</v>
      </c>
      <c r="H21" s="9">
        <v>2.4</v>
      </c>
      <c r="I21" s="9">
        <v>0.7</v>
      </c>
      <c r="J21" s="9">
        <v>7</v>
      </c>
      <c r="K21" s="9">
        <v>21</v>
      </c>
      <c r="L21" s="9">
        <v>196</v>
      </c>
      <c r="M21" s="9" t="s">
        <v>223</v>
      </c>
      <c r="N21">
        <v>1</v>
      </c>
    </row>
    <row r="22" spans="1:14" ht="15.6" x14ac:dyDescent="0.3">
      <c r="A22" s="9" t="s">
        <v>23</v>
      </c>
      <c r="B22" s="9" t="s">
        <v>175</v>
      </c>
      <c r="C22" s="9">
        <v>64.099999999999994</v>
      </c>
      <c r="D22" s="9">
        <v>18</v>
      </c>
      <c r="E22" s="9" t="s">
        <v>201</v>
      </c>
      <c r="F22" s="9" t="s">
        <v>27</v>
      </c>
      <c r="G22" s="9">
        <v>5.28</v>
      </c>
      <c r="H22" s="9">
        <v>1.7</v>
      </c>
      <c r="I22" s="9">
        <v>1.5</v>
      </c>
      <c r="J22" s="9">
        <v>18</v>
      </c>
      <c r="K22" s="9">
        <v>22</v>
      </c>
      <c r="L22" s="9">
        <v>16</v>
      </c>
      <c r="M22" s="9" t="s">
        <v>223</v>
      </c>
      <c r="N22">
        <v>0.55000000000000004</v>
      </c>
    </row>
    <row r="23" spans="1:14" ht="15.6" x14ac:dyDescent="0.3">
      <c r="A23" s="9" t="s">
        <v>22</v>
      </c>
      <c r="B23" s="9" t="s">
        <v>175</v>
      </c>
      <c r="C23" s="9">
        <v>73.8</v>
      </c>
      <c r="D23" s="9">
        <v>23</v>
      </c>
      <c r="E23" s="9" t="s">
        <v>201</v>
      </c>
      <c r="F23" s="9" t="s">
        <v>26</v>
      </c>
      <c r="G23" s="9">
        <v>7.35</v>
      </c>
      <c r="H23" s="9">
        <v>1.9</v>
      </c>
      <c r="I23" s="9">
        <v>4.7</v>
      </c>
      <c r="J23" s="9">
        <v>6</v>
      </c>
      <c r="K23" s="9">
        <v>23</v>
      </c>
      <c r="L23" s="9">
        <v>289</v>
      </c>
      <c r="M23" s="9" t="s">
        <v>223</v>
      </c>
      <c r="N23">
        <v>0.98</v>
      </c>
    </row>
    <row r="24" spans="1:14" ht="15.6" x14ac:dyDescent="0.3">
      <c r="A24" s="9" t="s">
        <v>12</v>
      </c>
      <c r="B24" s="9" t="s">
        <v>175</v>
      </c>
      <c r="C24" s="9">
        <v>68.8</v>
      </c>
      <c r="D24" s="9">
        <v>5</v>
      </c>
      <c r="E24" s="9" t="s">
        <v>201</v>
      </c>
      <c r="F24" s="9" t="s">
        <v>26</v>
      </c>
      <c r="G24" s="9">
        <v>6.2</v>
      </c>
      <c r="H24" s="9">
        <v>2.2000000000000002</v>
      </c>
      <c r="I24" s="9">
        <v>0.2</v>
      </c>
      <c r="J24" s="9">
        <v>13</v>
      </c>
      <c r="K24" s="9">
        <v>24</v>
      </c>
      <c r="L24" s="9">
        <v>121</v>
      </c>
      <c r="M24" s="9" t="s">
        <v>223</v>
      </c>
      <c r="N24">
        <v>1</v>
      </c>
    </row>
    <row r="25" spans="1:14" ht="15.6" x14ac:dyDescent="0.3">
      <c r="A25" s="9" t="s">
        <v>129</v>
      </c>
      <c r="B25" s="9" t="s">
        <v>175</v>
      </c>
      <c r="C25" s="9">
        <v>72.599999999999994</v>
      </c>
      <c r="D25" s="9">
        <v>5</v>
      </c>
      <c r="E25" s="9" t="s">
        <v>201</v>
      </c>
      <c r="F25" s="9" t="s">
        <v>286</v>
      </c>
      <c r="G25" s="9">
        <v>5.4450000000000003</v>
      </c>
      <c r="H25" s="9">
        <v>5.0999999999999996</v>
      </c>
      <c r="I25" s="9">
        <v>1.5</v>
      </c>
      <c r="J25" s="9">
        <v>9</v>
      </c>
      <c r="K25" s="9">
        <v>25</v>
      </c>
      <c r="L25" s="9">
        <v>256</v>
      </c>
      <c r="M25" s="9" t="s">
        <v>223</v>
      </c>
      <c r="N25">
        <v>0.9900000000000001</v>
      </c>
    </row>
    <row r="26" spans="1:14" ht="15.6" x14ac:dyDescent="0.3">
      <c r="A26" s="9" t="s">
        <v>1</v>
      </c>
      <c r="B26" s="9" t="s">
        <v>175</v>
      </c>
      <c r="C26" s="9">
        <v>49.9</v>
      </c>
      <c r="D26" s="9">
        <v>12</v>
      </c>
      <c r="E26" s="9" t="s">
        <v>201</v>
      </c>
      <c r="F26" s="9" t="s">
        <v>286</v>
      </c>
      <c r="G26" s="9">
        <v>4.4879999999999995</v>
      </c>
      <c r="H26" s="9">
        <v>9.8000000000000007</v>
      </c>
      <c r="I26" s="9">
        <v>1.9</v>
      </c>
      <c r="J26" s="9">
        <v>24</v>
      </c>
      <c r="K26" s="9">
        <v>26</v>
      </c>
      <c r="L26" s="9">
        <v>4</v>
      </c>
      <c r="M26" s="9" t="s">
        <v>223</v>
      </c>
      <c r="N26">
        <v>0.88</v>
      </c>
    </row>
    <row r="27" spans="1:14" ht="15.6" x14ac:dyDescent="0.3">
      <c r="A27" s="9" t="s">
        <v>127</v>
      </c>
      <c r="B27" s="9" t="s">
        <v>175</v>
      </c>
      <c r="C27" s="9">
        <v>45.5</v>
      </c>
      <c r="D27" s="9">
        <v>9</v>
      </c>
      <c r="E27" s="9" t="s">
        <v>201</v>
      </c>
      <c r="F27" s="9" t="s">
        <v>286</v>
      </c>
      <c r="G27" s="9">
        <v>4.2</v>
      </c>
      <c r="H27" s="9">
        <v>4.7</v>
      </c>
      <c r="I27" s="9">
        <v>1.1000000000000001</v>
      </c>
      <c r="J27" s="9">
        <v>26</v>
      </c>
      <c r="K27" s="9">
        <v>27</v>
      </c>
      <c r="L27" s="9">
        <v>1</v>
      </c>
      <c r="M27" s="9" t="s">
        <v>223</v>
      </c>
      <c r="N27">
        <v>1</v>
      </c>
    </row>
    <row r="28" spans="1:14" ht="15.6" x14ac:dyDescent="0.3">
      <c r="A28" s="9" t="s">
        <v>3</v>
      </c>
      <c r="B28" s="9" t="s">
        <v>175</v>
      </c>
      <c r="C28" s="9">
        <v>70.5</v>
      </c>
      <c r="D28" s="9">
        <v>16</v>
      </c>
      <c r="E28" s="9" t="s">
        <v>203</v>
      </c>
      <c r="F28" s="9" t="s">
        <v>27</v>
      </c>
      <c r="G28" s="9">
        <v>3.1680000000000001</v>
      </c>
      <c r="H28" s="9">
        <v>2.2999999999999998</v>
      </c>
      <c r="I28" s="9">
        <v>0.8</v>
      </c>
      <c r="J28" s="9">
        <v>12</v>
      </c>
      <c r="K28" s="9">
        <v>28</v>
      </c>
      <c r="L28" s="9">
        <v>256</v>
      </c>
      <c r="M28" s="9" t="s">
        <v>223</v>
      </c>
      <c r="N28">
        <v>0.99</v>
      </c>
    </row>
    <row r="29" spans="1:14" ht="15.6" x14ac:dyDescent="0.3">
      <c r="A29" s="9" t="s">
        <v>15</v>
      </c>
      <c r="B29" s="9" t="s">
        <v>175</v>
      </c>
      <c r="C29" s="9">
        <v>59.6</v>
      </c>
      <c r="D29" s="9">
        <v>12</v>
      </c>
      <c r="E29" s="9" t="s">
        <v>201</v>
      </c>
      <c r="F29" s="9" t="s">
        <v>25</v>
      </c>
      <c r="G29" s="9">
        <v>0.8</v>
      </c>
      <c r="H29" s="9">
        <v>5.3</v>
      </c>
      <c r="I29" s="9">
        <v>0.5</v>
      </c>
      <c r="J29" s="9">
        <v>21</v>
      </c>
      <c r="K29" s="9">
        <v>29</v>
      </c>
      <c r="L29" s="9">
        <v>64</v>
      </c>
      <c r="M29" s="9" t="s">
        <v>223</v>
      </c>
      <c r="N29">
        <v>1</v>
      </c>
    </row>
    <row r="31" spans="1:14" ht="15.6" x14ac:dyDescent="0.3">
      <c r="A31" s="16" t="s">
        <v>210</v>
      </c>
      <c r="B31" s="16"/>
      <c r="C31" s="16">
        <f>AVERAGE(C2:C29)</f>
        <v>65.467857142857127</v>
      </c>
      <c r="D31" s="16"/>
      <c r="E31" s="16"/>
      <c r="F31" s="16"/>
      <c r="G31" s="16">
        <f>AVERAGE(G2:G29)</f>
        <v>23.747642857142861</v>
      </c>
      <c r="H31" s="16"/>
      <c r="I31" s="16"/>
      <c r="J31" s="16"/>
      <c r="K31" s="16" t="s">
        <v>216</v>
      </c>
      <c r="L31" s="16">
        <f>SUM(L2:L29)</f>
        <v>2369</v>
      </c>
    </row>
    <row r="32" spans="1:14" ht="15.6" x14ac:dyDescent="0.3">
      <c r="A32" s="16" t="s">
        <v>211</v>
      </c>
      <c r="B32" s="16"/>
      <c r="C32" s="16">
        <f>_xlfn.VAR.P(C2:C29)</f>
        <v>140.84789540816385</v>
      </c>
      <c r="D32" s="16"/>
      <c r="E32" s="16"/>
      <c r="F32" s="16"/>
      <c r="G32" s="16">
        <f>_xlfn.VAR.P(G2:G29)</f>
        <v>308.9052529438772</v>
      </c>
      <c r="H32" s="16"/>
      <c r="I32" s="16"/>
      <c r="J32" s="16"/>
      <c r="K32" s="16" t="s">
        <v>132</v>
      </c>
      <c r="L32" s="16">
        <v>28</v>
      </c>
      <c r="M32" s="16"/>
      <c r="N32" s="16"/>
    </row>
    <row r="33" spans="1:14" ht="15.6" x14ac:dyDescent="0.3">
      <c r="A33" s="16"/>
      <c r="B33" s="16"/>
      <c r="C33" s="16"/>
      <c r="D33" s="16"/>
      <c r="E33" s="16"/>
      <c r="F33" s="16"/>
      <c r="G33" s="16"/>
      <c r="H33" s="16"/>
      <c r="I33" s="16"/>
      <c r="J33" s="16"/>
      <c r="K33" s="16" t="s">
        <v>217</v>
      </c>
      <c r="L33" s="16">
        <f>1-((6*L31)/(L32*(L32*L32-1)))</f>
        <v>0.35166940339354136</v>
      </c>
      <c r="M33" s="16"/>
      <c r="N33" s="16"/>
    </row>
    <row r="34" spans="1:14" ht="15.6" x14ac:dyDescent="0.3">
      <c r="A34" s="16" t="s">
        <v>212</v>
      </c>
      <c r="B34" s="16"/>
      <c r="C34" s="16">
        <f>_xlfn.COVARIANCE.P(C2:C29,G2:G29)</f>
        <v>92.115867091836748</v>
      </c>
      <c r="D34" s="16"/>
      <c r="E34" s="16"/>
      <c r="F34" s="16"/>
      <c r="G34" s="16"/>
      <c r="H34" s="16"/>
      <c r="I34" s="16"/>
      <c r="J34" s="16"/>
      <c r="K34" s="16"/>
      <c r="L34" s="16"/>
      <c r="M34" s="16"/>
      <c r="N34" s="16"/>
    </row>
    <row r="35" spans="1:14" ht="15.6" x14ac:dyDescent="0.3">
      <c r="A35" s="16" t="s">
        <v>218</v>
      </c>
      <c r="B35" s="16"/>
      <c r="C35" s="16">
        <f>C34/SQRT(C32*G32)</f>
        <v>0.4416178476037147</v>
      </c>
      <c r="D35" s="16"/>
      <c r="E35" s="16"/>
      <c r="F35" s="16"/>
      <c r="G35" s="16"/>
      <c r="H35" s="16"/>
      <c r="I35" s="16"/>
      <c r="J35" s="16"/>
      <c r="K35" s="16"/>
      <c r="L35" s="16"/>
      <c r="M35" s="16"/>
      <c r="N35" s="16"/>
    </row>
  </sheetData>
  <phoneticPr fontId="5" type="noConversion"/>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AC01E-D5A1-4F46-95BC-8183C065E0FF}">
  <dimension ref="A1:BS61"/>
  <sheetViews>
    <sheetView zoomScale="70" zoomScaleNormal="70" workbookViewId="0">
      <selection activeCell="U17" sqref="U17"/>
    </sheetView>
  </sheetViews>
  <sheetFormatPr defaultRowHeight="14.4" x14ac:dyDescent="0.3"/>
  <cols>
    <col min="1" max="1" width="31.44140625" customWidth="1"/>
    <col min="2" max="2" width="15.6640625" customWidth="1"/>
    <col min="3" max="3" width="10.6640625" customWidth="1"/>
    <col min="4" max="4" width="9.77734375" customWidth="1"/>
    <col min="5" max="5" width="9.88671875" customWidth="1"/>
    <col min="6" max="7" width="9.6640625" customWidth="1"/>
    <col min="8" max="8" width="11" customWidth="1"/>
    <col min="9" max="9" width="9.6640625" customWidth="1"/>
    <col min="10" max="10" width="9.88671875" customWidth="1"/>
    <col min="11" max="11" width="10.88671875" customWidth="1"/>
    <col min="12" max="12" width="8.33203125" customWidth="1"/>
    <col min="13" max="13" width="8.21875" customWidth="1"/>
    <col min="14" max="14" width="9.77734375" customWidth="1"/>
    <col min="15" max="15" width="9.44140625" customWidth="1"/>
    <col min="16" max="16" width="9.6640625" customWidth="1"/>
    <col min="17" max="17" width="9.5546875" customWidth="1"/>
    <col min="18" max="18" width="9.88671875" customWidth="1"/>
    <col min="19" max="19" width="10" customWidth="1"/>
    <col min="20" max="20" width="9.77734375" customWidth="1"/>
    <col min="21" max="21" width="9.88671875" style="14" customWidth="1"/>
    <col min="22" max="22" width="13.44140625" customWidth="1"/>
    <col min="23" max="23" width="11.109375" customWidth="1"/>
    <col min="24" max="24" width="10.5546875" customWidth="1"/>
    <col min="25" max="25" width="11.77734375" customWidth="1"/>
    <col min="26" max="26" width="15.109375" customWidth="1"/>
    <col min="27" max="27" width="12.21875" customWidth="1"/>
    <col min="28" max="28" width="11.109375" customWidth="1"/>
    <col min="29" max="29" width="12.21875" customWidth="1"/>
    <col min="30" max="30" width="12.88671875" customWidth="1"/>
    <col min="31" max="38" width="8.88671875" customWidth="1"/>
    <col min="39" max="39" width="10.77734375" customWidth="1"/>
    <col min="40" max="40" width="21.5546875" customWidth="1"/>
    <col min="41" max="41" width="9.77734375" customWidth="1"/>
    <col min="42" max="44" width="9" customWidth="1"/>
    <col min="45" max="46" width="8.88671875" customWidth="1"/>
    <col min="47" max="47" width="15.21875" customWidth="1"/>
    <col min="48" max="48" width="10.5546875" customWidth="1"/>
    <col min="49" max="49" width="10.77734375" customWidth="1"/>
    <col min="50" max="50" width="11" customWidth="1"/>
    <col min="51" max="51" width="16.33203125" customWidth="1"/>
    <col min="52" max="52" width="15.21875" customWidth="1"/>
    <col min="53" max="53" width="27.21875" customWidth="1"/>
    <col min="54" max="54" width="23.77734375" customWidth="1"/>
    <col min="55" max="55" width="15.21875" customWidth="1"/>
    <col min="56" max="56" width="14.109375" customWidth="1"/>
    <col min="57" max="57" width="16.33203125" customWidth="1"/>
    <col min="58" max="58" width="20.5546875" customWidth="1"/>
    <col min="59" max="59" width="12.33203125" customWidth="1"/>
    <col min="60" max="60" width="15.6640625" customWidth="1"/>
    <col min="61" max="61" width="13.21875" customWidth="1"/>
    <col min="62" max="62" width="16.21875" customWidth="1"/>
    <col min="63" max="63" width="18.21875" customWidth="1"/>
    <col min="64" max="64" width="14.77734375" customWidth="1"/>
    <col min="65" max="65" width="17.88671875" customWidth="1"/>
    <col min="66" max="66" width="16.5546875" customWidth="1"/>
    <col min="67" max="67" width="25" customWidth="1"/>
    <col min="68" max="68" width="19.21875" customWidth="1"/>
    <col min="69" max="69" width="39.5546875" customWidth="1"/>
    <col min="70" max="70" width="38.77734375" customWidth="1"/>
    <col min="71" max="71" width="48.77734375" customWidth="1"/>
  </cols>
  <sheetData>
    <row r="1" spans="1:71" x14ac:dyDescent="0.3">
      <c r="A1" s="7" t="s">
        <v>61</v>
      </c>
      <c r="B1" s="7" t="s">
        <v>133</v>
      </c>
      <c r="C1" s="7" t="s">
        <v>134</v>
      </c>
      <c r="D1" s="7" t="s">
        <v>135</v>
      </c>
      <c r="E1" s="7" t="s">
        <v>136</v>
      </c>
      <c r="F1" s="7" t="s">
        <v>137</v>
      </c>
      <c r="G1" s="7" t="s">
        <v>138</v>
      </c>
      <c r="H1" s="7" t="s">
        <v>139</v>
      </c>
      <c r="I1" s="7" t="s">
        <v>140</v>
      </c>
      <c r="J1" s="7" t="s">
        <v>141</v>
      </c>
      <c r="K1" s="7" t="s">
        <v>142</v>
      </c>
      <c r="L1" s="7" t="s">
        <v>143</v>
      </c>
      <c r="M1" s="7" t="s">
        <v>144</v>
      </c>
      <c r="N1" s="7" t="s">
        <v>145</v>
      </c>
      <c r="O1" s="7" t="s">
        <v>146</v>
      </c>
      <c r="P1" s="7" t="s">
        <v>152</v>
      </c>
      <c r="Q1" s="7" t="s">
        <v>153</v>
      </c>
      <c r="R1" s="7" t="s">
        <v>154</v>
      </c>
      <c r="S1" s="7" t="s">
        <v>147</v>
      </c>
      <c r="T1" s="7" t="s">
        <v>148</v>
      </c>
      <c r="U1" s="15" t="s">
        <v>155</v>
      </c>
      <c r="V1" s="7" t="s">
        <v>156</v>
      </c>
      <c r="W1" s="7" t="s">
        <v>157</v>
      </c>
      <c r="X1" s="7" t="s">
        <v>158</v>
      </c>
      <c r="Y1" s="7" t="s">
        <v>159</v>
      </c>
      <c r="Z1" s="7" t="s">
        <v>160</v>
      </c>
      <c r="AA1" s="7" t="s">
        <v>161</v>
      </c>
      <c r="AB1" s="7" t="s">
        <v>162</v>
      </c>
      <c r="AC1" s="7" t="s">
        <v>163</v>
      </c>
      <c r="AD1" s="7" t="s">
        <v>164</v>
      </c>
      <c r="AE1" s="7" t="s">
        <v>165</v>
      </c>
      <c r="AF1" s="7" t="s">
        <v>166</v>
      </c>
      <c r="AG1" s="7" t="s">
        <v>167</v>
      </c>
      <c r="AH1" s="7" t="s">
        <v>168</v>
      </c>
      <c r="AI1" s="7" t="s">
        <v>169</v>
      </c>
      <c r="AJ1" s="7" t="s">
        <v>170</v>
      </c>
      <c r="AK1" s="7" t="s">
        <v>171</v>
      </c>
      <c r="AL1" s="7" t="s">
        <v>172</v>
      </c>
      <c r="AM1" s="7" t="s">
        <v>173</v>
      </c>
      <c r="AN1" s="7" t="s">
        <v>174</v>
      </c>
      <c r="AO1" s="7" t="s">
        <v>177</v>
      </c>
      <c r="AP1" s="7" t="s">
        <v>178</v>
      </c>
      <c r="AQ1" s="7" t="s">
        <v>179</v>
      </c>
      <c r="AR1" s="7" t="s">
        <v>180</v>
      </c>
      <c r="AS1" s="7" t="s">
        <v>181</v>
      </c>
      <c r="AT1" s="7" t="s">
        <v>182</v>
      </c>
      <c r="AU1" s="7" t="s">
        <v>202</v>
      </c>
      <c r="AV1" s="7" t="s">
        <v>196</v>
      </c>
      <c r="AW1" s="7" t="s">
        <v>197</v>
      </c>
      <c r="AX1" s="7" t="s">
        <v>198</v>
      </c>
      <c r="AY1" s="7" t="s">
        <v>199</v>
      </c>
      <c r="AZ1" s="7" t="s">
        <v>200</v>
      </c>
      <c r="BA1" s="7" t="s">
        <v>204</v>
      </c>
      <c r="BB1" s="7" t="s">
        <v>206</v>
      </c>
      <c r="BC1" s="7" t="s">
        <v>205</v>
      </c>
      <c r="BD1" s="7" t="s">
        <v>207</v>
      </c>
      <c r="BE1" s="7" t="s">
        <v>208</v>
      </c>
      <c r="BF1" s="7" t="s">
        <v>209</v>
      </c>
      <c r="BG1" s="7" t="s">
        <v>220</v>
      </c>
      <c r="BH1" s="7" t="s">
        <v>221</v>
      </c>
      <c r="BI1" s="7" t="s">
        <v>222</v>
      </c>
      <c r="BJ1" s="7" t="s">
        <v>391</v>
      </c>
      <c r="BK1" s="7" t="s">
        <v>306</v>
      </c>
      <c r="BL1" s="7" t="s">
        <v>307</v>
      </c>
      <c r="BM1" s="7" t="s">
        <v>37</v>
      </c>
      <c r="BN1" s="7" t="s">
        <v>308</v>
      </c>
      <c r="BO1" s="7" t="s">
        <v>309</v>
      </c>
      <c r="BP1" s="7" t="s">
        <v>62</v>
      </c>
      <c r="BQ1" s="7" t="s">
        <v>310</v>
      </c>
      <c r="BR1" s="7" t="s">
        <v>389</v>
      </c>
      <c r="BS1" s="7" t="s">
        <v>390</v>
      </c>
    </row>
    <row r="2" spans="1:71" ht="31.8" customHeight="1" x14ac:dyDescent="0.3">
      <c r="A2" s="4" t="s">
        <v>149</v>
      </c>
      <c r="B2" s="10">
        <v>8</v>
      </c>
      <c r="C2" s="10">
        <v>10</v>
      </c>
      <c r="D2" s="10">
        <v>8</v>
      </c>
      <c r="E2" s="10">
        <v>8</v>
      </c>
      <c r="F2" s="10">
        <v>9</v>
      </c>
      <c r="G2" s="10">
        <v>9</v>
      </c>
      <c r="H2" s="10">
        <v>10</v>
      </c>
      <c r="I2" s="10">
        <v>10</v>
      </c>
      <c r="J2" s="10">
        <v>10</v>
      </c>
      <c r="K2" s="10">
        <v>10</v>
      </c>
      <c r="L2" s="10">
        <f t="shared" ref="L2:L44" si="0">(C2+E2+F2+G2)/4</f>
        <v>9</v>
      </c>
      <c r="M2" s="10">
        <f t="shared" ref="M2:M44" si="1">(B2+H2)/2</f>
        <v>9</v>
      </c>
      <c r="N2" s="10">
        <f t="shared" ref="N2:N44" si="2">(D2+I2+J2+K2)/4</f>
        <v>9.5</v>
      </c>
      <c r="O2" s="10">
        <f t="shared" ref="O2:O44" si="3">(D2+G2)/2</f>
        <v>8.5</v>
      </c>
      <c r="P2" s="10">
        <f t="shared" ref="P2:P44" si="4">ROUND((1/3)*(C2+D2+F2),1)</f>
        <v>9</v>
      </c>
      <c r="Q2" s="10">
        <f t="shared" ref="Q2:Q44" si="5">ROUND((1/4)*(E2+H2+J2+K2),1)</f>
        <v>9.5</v>
      </c>
      <c r="R2" s="10">
        <f t="shared" ref="R2:R44" si="6">S2-10*MIN(P2,Q2,B2)</f>
        <v>8.2999999999999972</v>
      </c>
      <c r="S2" s="10">
        <f t="shared" ref="S2:S44" si="7">ROUND(0.5*(10/3)*(L2+M2+N2)+(1-0.5)*10*MIN(L2,M2,N2,O2),1)</f>
        <v>88.3</v>
      </c>
      <c r="T2" s="10">
        <f t="shared" ref="T2:T44" si="8">ROUND((10/3)*(L2+M2+N2) - 10*MIN(L2,M2,N2,O2),0)</f>
        <v>7</v>
      </c>
      <c r="U2" s="11">
        <v>8</v>
      </c>
      <c r="V2" s="10">
        <v>10</v>
      </c>
      <c r="W2" s="10">
        <v>8</v>
      </c>
      <c r="X2" s="10">
        <v>8</v>
      </c>
      <c r="Y2" s="10">
        <v>8</v>
      </c>
      <c r="Z2" s="10">
        <v>9</v>
      </c>
      <c r="AA2" s="10">
        <v>10</v>
      </c>
      <c r="AB2" s="10">
        <v>10</v>
      </c>
      <c r="AC2" s="10">
        <v>10</v>
      </c>
      <c r="AD2" s="10">
        <v>10</v>
      </c>
      <c r="AE2" s="10">
        <f t="shared" ref="AE2:AE44" si="9">(V2+X2+Y2+Z2)/4</f>
        <v>8.75</v>
      </c>
      <c r="AF2" s="10">
        <f t="shared" ref="AF2:AF44" si="10">(U2+AA2)/2</f>
        <v>9</v>
      </c>
      <c r="AG2" s="10">
        <f t="shared" ref="AG2:AG44" si="11">(W2+AB2+AC2+AD2)/4</f>
        <v>9.5</v>
      </c>
      <c r="AH2" s="10">
        <f t="shared" ref="AH2:AH44" si="12">(W2+Z2)/2</f>
        <v>8.5</v>
      </c>
      <c r="AI2" s="10">
        <f t="shared" ref="AI2:AI44" si="13">ROUND((V2+W2+Y2)/3,1)</f>
        <v>8.6999999999999993</v>
      </c>
      <c r="AJ2" s="10">
        <f t="shared" ref="AJ2:AJ44" si="14">ROUND((X2+AA2+AC2+AD2)/4,1)</f>
        <v>9.5</v>
      </c>
      <c r="AK2" s="10">
        <f t="shared" ref="AK2:AK44" si="15">AL2-10*MIN(AI2,AJ2,AF2)</f>
        <v>0.90000000000000568</v>
      </c>
      <c r="AL2" s="10">
        <f t="shared" ref="AL2:AL44" si="16">ROUND(0.5*(10/3)*(AE2+AF2+AG2)+(1-0.5)*10*MIN(AE2,AF2,AG2,AH2),1)</f>
        <v>87.9</v>
      </c>
      <c r="AM2" s="10">
        <f t="shared" ref="AM2:AM44" si="17">ROUND((10/3)*(AE2+AF2+AG2)-10*MIN(AE2,AF2,AG2,AH2),0)</f>
        <v>6</v>
      </c>
      <c r="AN2" s="10" t="s">
        <v>176</v>
      </c>
      <c r="AO2" s="10">
        <f t="shared" ref="AO2:AO44" si="18">(V2+X2+Y2+Z2+C2+E2+F2+G2)/8</f>
        <v>8.875</v>
      </c>
      <c r="AP2" s="10">
        <f t="shared" ref="AP2:AP44" si="19">(B2+H2+U2+AA2)/4</f>
        <v>9</v>
      </c>
      <c r="AQ2" s="10">
        <f t="shared" ref="AQ2:AQ44" si="20">(W2+AB2+AC2+AD2+D2+I2+J2+K2)/8</f>
        <v>9.5</v>
      </c>
      <c r="AR2" s="10">
        <f t="shared" ref="AR2:AR44" si="21">(D2+W2+G2+Z2)/4</f>
        <v>8.5</v>
      </c>
      <c r="AS2" s="10">
        <f t="shared" ref="AS2:AS44" si="22">ROUND(0.5*(10/3)*(AO2+AP2+AQ2)+(1-0.5)*10*MIN(AO2,AP2,AQ2,AR2),1)</f>
        <v>88.1</v>
      </c>
      <c r="AT2" s="10">
        <f t="shared" ref="AT2:AT44" si="23">ROUND((10/3)*(AO2+AP2+AQ2)-10*MIN(AO2,AP2,AQ2,AR2),0)</f>
        <v>6</v>
      </c>
      <c r="AU2" s="10">
        <v>590</v>
      </c>
      <c r="AV2" s="10">
        <v>1</v>
      </c>
      <c r="AW2" s="10">
        <v>0</v>
      </c>
      <c r="AX2" s="10">
        <v>0</v>
      </c>
      <c r="AY2" s="17">
        <v>46023</v>
      </c>
      <c r="AZ2" s="10" t="s">
        <v>201</v>
      </c>
      <c r="BA2" s="10" t="s">
        <v>27</v>
      </c>
      <c r="BB2" s="17">
        <v>46120</v>
      </c>
      <c r="BC2" s="10">
        <f t="shared" ref="BC2:BC44" si="24">BB2-AY2</f>
        <v>97</v>
      </c>
      <c r="BD2" s="10">
        <f t="shared" ref="BD2:BD44" si="25">ROUND(AV2/BC2,1)</f>
        <v>0</v>
      </c>
      <c r="BE2" s="10">
        <f t="shared" ref="BE2:BE44" si="26">ROUND(100*AW2/AV2,1)</f>
        <v>0</v>
      </c>
      <c r="BF2" s="8">
        <f t="shared" ref="BF2:BF44" si="27">ROUND(100*AX2/AV2,1)</f>
        <v>0</v>
      </c>
      <c r="BG2" s="10">
        <f t="shared" ref="BG2:BG44" si="28">LOOKUP(BC2,$A$47:$A$61,$B$47:$B$61)</f>
        <v>0.65</v>
      </c>
      <c r="BH2" s="10"/>
      <c r="BI2" s="10"/>
      <c r="BJ2" s="10">
        <f t="shared" ref="BJ2:BJ44" si="29">BD2*BG2</f>
        <v>0</v>
      </c>
      <c r="BK2" s="10" t="s">
        <v>235</v>
      </c>
      <c r="BL2" s="3" t="s">
        <v>392</v>
      </c>
      <c r="BM2" s="3" t="s">
        <v>393</v>
      </c>
      <c r="BN2" s="3" t="s">
        <v>394</v>
      </c>
      <c r="BO2" s="3" t="s">
        <v>395</v>
      </c>
      <c r="BP2" s="10" t="s">
        <v>226</v>
      </c>
      <c r="BQ2" s="3" t="s">
        <v>396</v>
      </c>
      <c r="BR2" s="4" t="s">
        <v>63</v>
      </c>
      <c r="BS2" s="19" t="s">
        <v>397</v>
      </c>
    </row>
    <row r="3" spans="1:71" ht="31.8" customHeight="1" x14ac:dyDescent="0.3">
      <c r="A3" s="4" t="s">
        <v>24</v>
      </c>
      <c r="B3" s="10">
        <v>8</v>
      </c>
      <c r="C3" s="10">
        <v>10</v>
      </c>
      <c r="D3" s="10">
        <v>8</v>
      </c>
      <c r="E3" s="10">
        <v>8.5</v>
      </c>
      <c r="F3" s="10">
        <v>9</v>
      </c>
      <c r="G3" s="10">
        <v>9</v>
      </c>
      <c r="H3" s="10">
        <v>10</v>
      </c>
      <c r="I3" s="10">
        <v>10</v>
      </c>
      <c r="J3" s="10">
        <v>10</v>
      </c>
      <c r="K3" s="10">
        <v>10</v>
      </c>
      <c r="L3" s="10">
        <f t="shared" si="0"/>
        <v>9.125</v>
      </c>
      <c r="M3" s="10">
        <f t="shared" si="1"/>
        <v>9</v>
      </c>
      <c r="N3" s="10">
        <f t="shared" si="2"/>
        <v>9.5</v>
      </c>
      <c r="O3" s="10">
        <f t="shared" si="3"/>
        <v>8.5</v>
      </c>
      <c r="P3" s="10">
        <f t="shared" si="4"/>
        <v>9</v>
      </c>
      <c r="Q3" s="10">
        <f t="shared" si="5"/>
        <v>9.6</v>
      </c>
      <c r="R3" s="10">
        <f t="shared" si="6"/>
        <v>8.5</v>
      </c>
      <c r="S3" s="10">
        <f t="shared" si="7"/>
        <v>88.5</v>
      </c>
      <c r="T3" s="10">
        <f t="shared" si="8"/>
        <v>7</v>
      </c>
      <c r="U3" s="11">
        <v>8</v>
      </c>
      <c r="V3" s="10">
        <v>9</v>
      </c>
      <c r="W3" s="10">
        <v>8</v>
      </c>
      <c r="X3" s="10">
        <v>8.5</v>
      </c>
      <c r="Y3" s="10">
        <v>8</v>
      </c>
      <c r="Z3" s="10">
        <v>9</v>
      </c>
      <c r="AA3" s="10">
        <v>10</v>
      </c>
      <c r="AB3" s="10">
        <v>10</v>
      </c>
      <c r="AC3" s="10">
        <v>10</v>
      </c>
      <c r="AD3" s="10">
        <v>9</v>
      </c>
      <c r="AE3" s="10">
        <f t="shared" si="9"/>
        <v>8.625</v>
      </c>
      <c r="AF3" s="10">
        <f t="shared" si="10"/>
        <v>9</v>
      </c>
      <c r="AG3" s="10">
        <f t="shared" si="11"/>
        <v>9.25</v>
      </c>
      <c r="AH3" s="10">
        <f t="shared" si="12"/>
        <v>8.5</v>
      </c>
      <c r="AI3" s="10">
        <f t="shared" si="13"/>
        <v>8.3000000000000007</v>
      </c>
      <c r="AJ3" s="10">
        <f t="shared" si="14"/>
        <v>9.4</v>
      </c>
      <c r="AK3" s="10">
        <f t="shared" si="15"/>
        <v>4.2999999999999972</v>
      </c>
      <c r="AL3" s="10">
        <f t="shared" si="16"/>
        <v>87.3</v>
      </c>
      <c r="AM3" s="10">
        <f t="shared" si="17"/>
        <v>5</v>
      </c>
      <c r="AN3" s="10" t="s">
        <v>175</v>
      </c>
      <c r="AO3" s="10">
        <f t="shared" si="18"/>
        <v>8.875</v>
      </c>
      <c r="AP3" s="10">
        <f t="shared" si="19"/>
        <v>9</v>
      </c>
      <c r="AQ3" s="10">
        <f t="shared" si="20"/>
        <v>9.375</v>
      </c>
      <c r="AR3" s="10">
        <f t="shared" si="21"/>
        <v>8.5</v>
      </c>
      <c r="AS3" s="10">
        <f t="shared" si="22"/>
        <v>87.9</v>
      </c>
      <c r="AT3" s="10">
        <f t="shared" si="23"/>
        <v>6</v>
      </c>
      <c r="AU3" s="10">
        <v>360</v>
      </c>
      <c r="AV3" s="10">
        <v>9138</v>
      </c>
      <c r="AW3" s="10">
        <v>106</v>
      </c>
      <c r="AX3" s="10">
        <v>281</v>
      </c>
      <c r="AY3" s="17">
        <v>45964</v>
      </c>
      <c r="AZ3" s="10" t="s">
        <v>201</v>
      </c>
      <c r="BA3" s="10" t="s">
        <v>25</v>
      </c>
      <c r="BB3" s="17">
        <v>46121</v>
      </c>
      <c r="BC3" s="10">
        <f t="shared" si="24"/>
        <v>157</v>
      </c>
      <c r="BD3" s="10">
        <f t="shared" si="25"/>
        <v>58.2</v>
      </c>
      <c r="BE3" s="10">
        <f t="shared" si="26"/>
        <v>1.2</v>
      </c>
      <c r="BF3" s="10">
        <f t="shared" si="27"/>
        <v>3.1</v>
      </c>
      <c r="BG3" s="10">
        <f t="shared" si="28"/>
        <v>0.74</v>
      </c>
      <c r="BH3" s="10">
        <v>68</v>
      </c>
      <c r="BI3" s="10" t="s">
        <v>223</v>
      </c>
      <c r="BJ3" s="10">
        <f t="shared" si="29"/>
        <v>43.068000000000005</v>
      </c>
      <c r="BK3" s="10" t="s">
        <v>235</v>
      </c>
      <c r="BL3" s="3" t="s">
        <v>328</v>
      </c>
      <c r="BM3" s="3" t="s">
        <v>341</v>
      </c>
      <c r="BN3" s="3" t="s">
        <v>236</v>
      </c>
      <c r="BO3" s="3" t="s">
        <v>311</v>
      </c>
      <c r="BP3" s="10" t="s">
        <v>226</v>
      </c>
      <c r="BQ3" s="3" t="s">
        <v>275</v>
      </c>
      <c r="BR3" s="4" t="s">
        <v>63</v>
      </c>
      <c r="BS3" s="19" t="s">
        <v>71</v>
      </c>
    </row>
    <row r="4" spans="1:71" ht="42.6" customHeight="1" x14ac:dyDescent="0.3">
      <c r="A4" s="4" t="s">
        <v>2</v>
      </c>
      <c r="B4" s="10">
        <v>9</v>
      </c>
      <c r="C4" s="10">
        <v>9</v>
      </c>
      <c r="D4" s="10">
        <v>9</v>
      </c>
      <c r="E4" s="10">
        <v>9</v>
      </c>
      <c r="F4" s="10">
        <v>8</v>
      </c>
      <c r="G4" s="10">
        <v>8</v>
      </c>
      <c r="H4" s="10">
        <v>8</v>
      </c>
      <c r="I4" s="10">
        <v>9</v>
      </c>
      <c r="J4" s="10">
        <v>9</v>
      </c>
      <c r="K4" s="10">
        <v>8</v>
      </c>
      <c r="L4" s="10">
        <f t="shared" si="0"/>
        <v>8.5</v>
      </c>
      <c r="M4" s="10">
        <f t="shared" si="1"/>
        <v>8.5</v>
      </c>
      <c r="N4" s="10">
        <f t="shared" si="2"/>
        <v>8.75</v>
      </c>
      <c r="O4" s="10">
        <f t="shared" si="3"/>
        <v>8.5</v>
      </c>
      <c r="P4" s="10">
        <f t="shared" si="4"/>
        <v>8.6999999999999993</v>
      </c>
      <c r="Q4" s="10">
        <f t="shared" si="5"/>
        <v>8.5</v>
      </c>
      <c r="R4" s="10">
        <f t="shared" si="6"/>
        <v>0.40000000000000568</v>
      </c>
      <c r="S4" s="10">
        <f t="shared" si="7"/>
        <v>85.4</v>
      </c>
      <c r="T4" s="10">
        <f t="shared" si="8"/>
        <v>1</v>
      </c>
      <c r="U4" s="11">
        <v>9</v>
      </c>
      <c r="V4" s="10">
        <v>8</v>
      </c>
      <c r="W4" s="10">
        <v>9</v>
      </c>
      <c r="X4" s="10">
        <v>9</v>
      </c>
      <c r="Y4" s="10">
        <v>9</v>
      </c>
      <c r="Z4" s="10">
        <v>8</v>
      </c>
      <c r="AA4" s="10">
        <v>8</v>
      </c>
      <c r="AB4" s="10">
        <v>10</v>
      </c>
      <c r="AC4" s="10">
        <v>9</v>
      </c>
      <c r="AD4" s="10">
        <v>7</v>
      </c>
      <c r="AE4" s="10">
        <f t="shared" si="9"/>
        <v>8.5</v>
      </c>
      <c r="AF4" s="10">
        <f t="shared" si="10"/>
        <v>8.5</v>
      </c>
      <c r="AG4" s="10">
        <f t="shared" si="11"/>
        <v>8.75</v>
      </c>
      <c r="AH4" s="10">
        <f t="shared" si="12"/>
        <v>8.5</v>
      </c>
      <c r="AI4" s="10">
        <f t="shared" si="13"/>
        <v>8.6999999999999993</v>
      </c>
      <c r="AJ4" s="10">
        <f t="shared" si="14"/>
        <v>8.3000000000000007</v>
      </c>
      <c r="AK4" s="10">
        <f t="shared" si="15"/>
        <v>2.4000000000000057</v>
      </c>
      <c r="AL4" s="10">
        <f t="shared" si="16"/>
        <v>85.4</v>
      </c>
      <c r="AM4" s="10">
        <f t="shared" si="17"/>
        <v>1</v>
      </c>
      <c r="AN4" s="10" t="s">
        <v>175</v>
      </c>
      <c r="AO4" s="10">
        <f t="shared" si="18"/>
        <v>8.5</v>
      </c>
      <c r="AP4" s="10">
        <f t="shared" si="19"/>
        <v>8.5</v>
      </c>
      <c r="AQ4" s="10">
        <f t="shared" si="20"/>
        <v>8.75</v>
      </c>
      <c r="AR4" s="10">
        <f t="shared" si="21"/>
        <v>8.5</v>
      </c>
      <c r="AS4" s="10">
        <f t="shared" si="22"/>
        <v>85.4</v>
      </c>
      <c r="AT4" s="10">
        <f t="shared" si="23"/>
        <v>1</v>
      </c>
      <c r="AU4" s="10">
        <v>93</v>
      </c>
      <c r="AV4" s="10">
        <v>3156</v>
      </c>
      <c r="AW4" s="10">
        <v>95</v>
      </c>
      <c r="AX4" s="10">
        <v>265</v>
      </c>
      <c r="AY4" s="17">
        <v>45915</v>
      </c>
      <c r="AZ4" s="10" t="s">
        <v>203</v>
      </c>
      <c r="BA4" s="10" t="s">
        <v>26</v>
      </c>
      <c r="BB4" s="17">
        <v>46121</v>
      </c>
      <c r="BC4" s="10">
        <f t="shared" si="24"/>
        <v>206</v>
      </c>
      <c r="BD4" s="10">
        <f t="shared" si="25"/>
        <v>15.3</v>
      </c>
      <c r="BE4" s="10">
        <f t="shared" si="26"/>
        <v>3</v>
      </c>
      <c r="BF4" s="10">
        <f t="shared" si="27"/>
        <v>8.4</v>
      </c>
      <c r="BG4" s="10">
        <f t="shared" si="28"/>
        <v>0.78</v>
      </c>
      <c r="BH4" s="10">
        <v>70</v>
      </c>
      <c r="BI4" s="10" t="s">
        <v>224</v>
      </c>
      <c r="BJ4" s="10">
        <f t="shared" si="29"/>
        <v>11.934000000000001</v>
      </c>
      <c r="BK4" s="10" t="s">
        <v>135</v>
      </c>
      <c r="BL4" s="3" t="s">
        <v>379</v>
      </c>
      <c r="BM4" s="3" t="s">
        <v>381</v>
      </c>
      <c r="BN4" s="3" t="s">
        <v>382</v>
      </c>
      <c r="BO4" s="3" t="s">
        <v>238</v>
      </c>
      <c r="BP4" s="10" t="s">
        <v>237</v>
      </c>
      <c r="BQ4" s="3" t="s">
        <v>276</v>
      </c>
      <c r="BR4" s="4" t="s">
        <v>64</v>
      </c>
      <c r="BS4" s="19" t="s">
        <v>73</v>
      </c>
    </row>
    <row r="5" spans="1:71" ht="26.4" customHeight="1" x14ac:dyDescent="0.3">
      <c r="A5" s="4" t="s">
        <v>17</v>
      </c>
      <c r="B5" s="10">
        <v>9</v>
      </c>
      <c r="C5" s="10">
        <v>10</v>
      </c>
      <c r="D5" s="10">
        <v>9</v>
      </c>
      <c r="E5" s="10">
        <v>9</v>
      </c>
      <c r="F5" s="10">
        <v>8</v>
      </c>
      <c r="G5" s="10">
        <v>8</v>
      </c>
      <c r="H5" s="10">
        <v>8</v>
      </c>
      <c r="I5" s="10">
        <v>8</v>
      </c>
      <c r="J5" s="10">
        <v>9</v>
      </c>
      <c r="K5" s="10">
        <v>8</v>
      </c>
      <c r="L5" s="10">
        <f t="shared" si="0"/>
        <v>8.75</v>
      </c>
      <c r="M5" s="10">
        <f t="shared" si="1"/>
        <v>8.5</v>
      </c>
      <c r="N5" s="10">
        <f t="shared" si="2"/>
        <v>8.5</v>
      </c>
      <c r="O5" s="10">
        <f t="shared" si="3"/>
        <v>8.5</v>
      </c>
      <c r="P5" s="10">
        <f t="shared" si="4"/>
        <v>9</v>
      </c>
      <c r="Q5" s="10">
        <f t="shared" si="5"/>
        <v>8.5</v>
      </c>
      <c r="R5" s="10">
        <f t="shared" si="6"/>
        <v>0.40000000000000568</v>
      </c>
      <c r="S5" s="10">
        <f t="shared" si="7"/>
        <v>85.4</v>
      </c>
      <c r="T5" s="10">
        <f t="shared" si="8"/>
        <v>1</v>
      </c>
      <c r="U5" s="11">
        <v>8</v>
      </c>
      <c r="V5" s="10">
        <v>10</v>
      </c>
      <c r="W5" s="10">
        <v>8</v>
      </c>
      <c r="X5" s="10">
        <v>9</v>
      </c>
      <c r="Y5" s="10">
        <v>8</v>
      </c>
      <c r="Z5" s="10">
        <v>8</v>
      </c>
      <c r="AA5" s="10">
        <v>9</v>
      </c>
      <c r="AB5" s="10">
        <v>9</v>
      </c>
      <c r="AC5" s="10">
        <v>9</v>
      </c>
      <c r="AD5" s="10">
        <v>8</v>
      </c>
      <c r="AE5" s="10">
        <f t="shared" si="9"/>
        <v>8.75</v>
      </c>
      <c r="AF5" s="10">
        <f t="shared" si="10"/>
        <v>8.5</v>
      </c>
      <c r="AG5" s="10">
        <f t="shared" si="11"/>
        <v>8.5</v>
      </c>
      <c r="AH5" s="10">
        <f t="shared" si="12"/>
        <v>8</v>
      </c>
      <c r="AI5" s="10">
        <f t="shared" si="13"/>
        <v>8.6999999999999993</v>
      </c>
      <c r="AJ5" s="10">
        <f t="shared" si="14"/>
        <v>8.8000000000000007</v>
      </c>
      <c r="AK5" s="10">
        <f t="shared" si="15"/>
        <v>-2.0999999999999943</v>
      </c>
      <c r="AL5" s="10">
        <f t="shared" si="16"/>
        <v>82.9</v>
      </c>
      <c r="AM5" s="10">
        <f t="shared" si="17"/>
        <v>6</v>
      </c>
      <c r="AN5" s="10" t="s">
        <v>175</v>
      </c>
      <c r="AO5" s="10">
        <f t="shared" si="18"/>
        <v>8.75</v>
      </c>
      <c r="AP5" s="10">
        <f t="shared" si="19"/>
        <v>8.5</v>
      </c>
      <c r="AQ5" s="10">
        <f t="shared" si="20"/>
        <v>8.5</v>
      </c>
      <c r="AR5" s="10">
        <f t="shared" si="21"/>
        <v>8.25</v>
      </c>
      <c r="AS5" s="10">
        <f t="shared" si="22"/>
        <v>84.2</v>
      </c>
      <c r="AT5" s="10">
        <f t="shared" si="23"/>
        <v>3</v>
      </c>
      <c r="AU5" s="10">
        <v>551</v>
      </c>
      <c r="AV5" s="10">
        <v>118644</v>
      </c>
      <c r="AW5" s="10">
        <v>1558</v>
      </c>
      <c r="AX5" s="10">
        <v>2531</v>
      </c>
      <c r="AY5" s="17">
        <v>43903</v>
      </c>
      <c r="AZ5" s="10" t="s">
        <v>203</v>
      </c>
      <c r="BA5" s="10" t="s">
        <v>26</v>
      </c>
      <c r="BB5" s="17">
        <v>46121</v>
      </c>
      <c r="BC5" s="10">
        <f t="shared" si="24"/>
        <v>2218</v>
      </c>
      <c r="BD5" s="10">
        <f t="shared" si="25"/>
        <v>53.5</v>
      </c>
      <c r="BE5" s="10">
        <f t="shared" si="26"/>
        <v>1.3</v>
      </c>
      <c r="BF5" s="10">
        <f t="shared" si="27"/>
        <v>2.1</v>
      </c>
      <c r="BG5" s="10">
        <f t="shared" si="28"/>
        <v>1</v>
      </c>
      <c r="BH5" s="10">
        <v>66</v>
      </c>
      <c r="BI5" s="10" t="s">
        <v>223</v>
      </c>
      <c r="BJ5" s="10">
        <f t="shared" si="29"/>
        <v>53.5</v>
      </c>
      <c r="BK5" s="10" t="s">
        <v>235</v>
      </c>
      <c r="BL5" s="3" t="s">
        <v>380</v>
      </c>
      <c r="BM5" s="3" t="s">
        <v>242</v>
      </c>
      <c r="BN5" s="3" t="s">
        <v>243</v>
      </c>
      <c r="BO5" s="3" t="s">
        <v>244</v>
      </c>
      <c r="BP5" s="10" t="s">
        <v>237</v>
      </c>
      <c r="BQ5" s="3" t="s">
        <v>278</v>
      </c>
      <c r="BR5" s="4" t="s">
        <v>77</v>
      </c>
      <c r="BS5" s="19" t="s">
        <v>76</v>
      </c>
    </row>
    <row r="6" spans="1:71" ht="26.4" customHeight="1" x14ac:dyDescent="0.3">
      <c r="A6" s="4" t="s">
        <v>16</v>
      </c>
      <c r="B6" s="10">
        <v>10</v>
      </c>
      <c r="C6" s="10">
        <v>9</v>
      </c>
      <c r="D6" s="10">
        <v>9</v>
      </c>
      <c r="E6" s="10">
        <v>8.5</v>
      </c>
      <c r="F6" s="10">
        <v>9</v>
      </c>
      <c r="G6" s="10">
        <v>6</v>
      </c>
      <c r="H6" s="10">
        <v>10</v>
      </c>
      <c r="I6" s="10">
        <v>8</v>
      </c>
      <c r="J6" s="10">
        <v>7</v>
      </c>
      <c r="K6" s="10">
        <v>8</v>
      </c>
      <c r="L6" s="10">
        <f t="shared" si="0"/>
        <v>8.125</v>
      </c>
      <c r="M6" s="10">
        <f t="shared" si="1"/>
        <v>10</v>
      </c>
      <c r="N6" s="10">
        <f t="shared" si="2"/>
        <v>8</v>
      </c>
      <c r="O6" s="10">
        <f t="shared" si="3"/>
        <v>7.5</v>
      </c>
      <c r="P6" s="10">
        <f t="shared" si="4"/>
        <v>9</v>
      </c>
      <c r="Q6" s="10">
        <f t="shared" si="5"/>
        <v>8.4</v>
      </c>
      <c r="R6" s="10">
        <f t="shared" si="6"/>
        <v>-3</v>
      </c>
      <c r="S6" s="10">
        <f t="shared" si="7"/>
        <v>81</v>
      </c>
      <c r="T6" s="10">
        <f t="shared" si="8"/>
        <v>12</v>
      </c>
      <c r="U6" s="11">
        <v>10</v>
      </c>
      <c r="V6" s="10">
        <v>9</v>
      </c>
      <c r="W6" s="10">
        <v>9</v>
      </c>
      <c r="X6" s="10">
        <v>8.5</v>
      </c>
      <c r="Y6" s="10">
        <v>9</v>
      </c>
      <c r="Z6" s="10">
        <v>7</v>
      </c>
      <c r="AA6" s="10">
        <v>9</v>
      </c>
      <c r="AB6" s="10">
        <v>9</v>
      </c>
      <c r="AC6" s="10">
        <v>8</v>
      </c>
      <c r="AD6" s="10">
        <v>8</v>
      </c>
      <c r="AE6" s="10">
        <f t="shared" si="9"/>
        <v>8.375</v>
      </c>
      <c r="AF6" s="10">
        <f t="shared" si="10"/>
        <v>9.5</v>
      </c>
      <c r="AG6" s="10">
        <f t="shared" si="11"/>
        <v>8.5</v>
      </c>
      <c r="AH6" s="10">
        <f t="shared" si="12"/>
        <v>8</v>
      </c>
      <c r="AI6" s="10">
        <f t="shared" si="13"/>
        <v>9</v>
      </c>
      <c r="AJ6" s="10">
        <f t="shared" si="14"/>
        <v>8.4</v>
      </c>
      <c r="AK6" s="10">
        <f t="shared" si="15"/>
        <v>0</v>
      </c>
      <c r="AL6" s="10">
        <f t="shared" si="16"/>
        <v>84</v>
      </c>
      <c r="AM6" s="10">
        <f t="shared" si="17"/>
        <v>8</v>
      </c>
      <c r="AN6" s="10" t="s">
        <v>175</v>
      </c>
      <c r="AO6" s="10">
        <f t="shared" si="18"/>
        <v>8.25</v>
      </c>
      <c r="AP6" s="10">
        <f t="shared" si="19"/>
        <v>9.75</v>
      </c>
      <c r="AQ6" s="10">
        <f t="shared" si="20"/>
        <v>8.25</v>
      </c>
      <c r="AR6" s="10">
        <f t="shared" si="21"/>
        <v>7.75</v>
      </c>
      <c r="AS6" s="10">
        <f t="shared" si="22"/>
        <v>82.5</v>
      </c>
      <c r="AT6" s="10">
        <f t="shared" si="23"/>
        <v>10</v>
      </c>
      <c r="AU6" s="10">
        <v>253</v>
      </c>
      <c r="AV6" s="10">
        <v>95681</v>
      </c>
      <c r="AW6" s="10">
        <v>2009</v>
      </c>
      <c r="AX6" s="10">
        <v>947</v>
      </c>
      <c r="AY6" s="17">
        <v>43594</v>
      </c>
      <c r="AZ6" s="10" t="s">
        <v>203</v>
      </c>
      <c r="BA6" s="10" t="s">
        <v>25</v>
      </c>
      <c r="BB6" s="17">
        <v>46121</v>
      </c>
      <c r="BC6" s="10">
        <f t="shared" si="24"/>
        <v>2527</v>
      </c>
      <c r="BD6" s="10">
        <f t="shared" si="25"/>
        <v>37.9</v>
      </c>
      <c r="BE6" s="10">
        <f t="shared" si="26"/>
        <v>2.1</v>
      </c>
      <c r="BF6" s="10">
        <f t="shared" si="27"/>
        <v>1</v>
      </c>
      <c r="BG6" s="10">
        <f t="shared" si="28"/>
        <v>1</v>
      </c>
      <c r="BH6" s="10">
        <v>76</v>
      </c>
      <c r="BI6" s="10" t="s">
        <v>223</v>
      </c>
      <c r="BJ6" s="10">
        <f t="shared" si="29"/>
        <v>37.9</v>
      </c>
      <c r="BK6" s="10" t="s">
        <v>135</v>
      </c>
      <c r="BL6" s="3" t="s">
        <v>233</v>
      </c>
      <c r="BM6" s="3" t="s">
        <v>340</v>
      </c>
      <c r="BN6" s="3" t="s">
        <v>234</v>
      </c>
      <c r="BO6" s="3" t="s">
        <v>352</v>
      </c>
      <c r="BP6" s="10" t="s">
        <v>226</v>
      </c>
      <c r="BQ6" s="3" t="s">
        <v>274</v>
      </c>
      <c r="BR6" s="4" t="s">
        <v>70</v>
      </c>
      <c r="BS6" s="19" t="s">
        <v>69</v>
      </c>
    </row>
    <row r="7" spans="1:71" ht="28.2" customHeight="1" x14ac:dyDescent="0.3">
      <c r="A7" s="4" t="s">
        <v>125</v>
      </c>
      <c r="B7" s="10">
        <v>7</v>
      </c>
      <c r="C7" s="10">
        <v>9</v>
      </c>
      <c r="D7" s="10">
        <v>7</v>
      </c>
      <c r="E7" s="10">
        <v>7.5</v>
      </c>
      <c r="F7" s="10">
        <v>8</v>
      </c>
      <c r="G7" s="10">
        <v>8</v>
      </c>
      <c r="H7" s="10">
        <v>8</v>
      </c>
      <c r="I7" s="10">
        <v>9</v>
      </c>
      <c r="J7" s="10">
        <v>9</v>
      </c>
      <c r="K7" s="10">
        <v>10</v>
      </c>
      <c r="L7" s="10">
        <f t="shared" si="0"/>
        <v>8.125</v>
      </c>
      <c r="M7" s="10">
        <f t="shared" si="1"/>
        <v>7.5</v>
      </c>
      <c r="N7" s="10">
        <f t="shared" si="2"/>
        <v>8.75</v>
      </c>
      <c r="O7" s="10">
        <f t="shared" si="3"/>
        <v>7.5</v>
      </c>
      <c r="P7" s="10">
        <f t="shared" si="4"/>
        <v>8</v>
      </c>
      <c r="Q7" s="10">
        <f t="shared" si="5"/>
        <v>8.6</v>
      </c>
      <c r="R7" s="10">
        <f t="shared" si="6"/>
        <v>8.0999999999999943</v>
      </c>
      <c r="S7" s="10">
        <f t="shared" si="7"/>
        <v>78.099999999999994</v>
      </c>
      <c r="T7" s="10">
        <f t="shared" si="8"/>
        <v>6</v>
      </c>
      <c r="U7" s="11">
        <v>7</v>
      </c>
      <c r="V7" s="10">
        <v>9</v>
      </c>
      <c r="W7" s="10">
        <v>7</v>
      </c>
      <c r="X7" s="10">
        <v>8</v>
      </c>
      <c r="Y7" s="10">
        <v>7</v>
      </c>
      <c r="Z7" s="10">
        <v>8</v>
      </c>
      <c r="AA7" s="10">
        <v>8</v>
      </c>
      <c r="AB7" s="10">
        <v>9</v>
      </c>
      <c r="AC7" s="10">
        <v>8</v>
      </c>
      <c r="AD7" s="10">
        <v>10</v>
      </c>
      <c r="AE7" s="10">
        <f t="shared" si="9"/>
        <v>8</v>
      </c>
      <c r="AF7" s="10">
        <f t="shared" si="10"/>
        <v>7.5</v>
      </c>
      <c r="AG7" s="10">
        <f t="shared" si="11"/>
        <v>8.5</v>
      </c>
      <c r="AH7" s="10">
        <f t="shared" si="12"/>
        <v>7.5</v>
      </c>
      <c r="AI7" s="10">
        <f t="shared" si="13"/>
        <v>7.7</v>
      </c>
      <c r="AJ7" s="10">
        <f t="shared" si="14"/>
        <v>8.5</v>
      </c>
      <c r="AK7" s="10">
        <f t="shared" si="15"/>
        <v>2.5</v>
      </c>
      <c r="AL7" s="10">
        <f t="shared" si="16"/>
        <v>77.5</v>
      </c>
      <c r="AM7" s="10">
        <f t="shared" si="17"/>
        <v>5</v>
      </c>
      <c r="AN7" s="10" t="s">
        <v>175</v>
      </c>
      <c r="AO7" s="10">
        <f t="shared" si="18"/>
        <v>8.0625</v>
      </c>
      <c r="AP7" s="10">
        <f t="shared" si="19"/>
        <v>7.5</v>
      </c>
      <c r="AQ7" s="10">
        <f t="shared" si="20"/>
        <v>8.625</v>
      </c>
      <c r="AR7" s="10">
        <f t="shared" si="21"/>
        <v>7.5</v>
      </c>
      <c r="AS7" s="10">
        <f t="shared" si="22"/>
        <v>77.8</v>
      </c>
      <c r="AT7" s="10">
        <f t="shared" si="23"/>
        <v>6</v>
      </c>
      <c r="AU7" s="10">
        <v>179</v>
      </c>
      <c r="AV7" s="10">
        <v>6016</v>
      </c>
      <c r="AW7" s="10">
        <v>86</v>
      </c>
      <c r="AX7" s="10">
        <v>332</v>
      </c>
      <c r="AY7" s="17">
        <v>45973</v>
      </c>
      <c r="AZ7" s="10" t="s">
        <v>201</v>
      </c>
      <c r="BA7" s="10" t="s">
        <v>25</v>
      </c>
      <c r="BB7" s="17">
        <v>46121</v>
      </c>
      <c r="BC7" s="10">
        <f t="shared" si="24"/>
        <v>148</v>
      </c>
      <c r="BD7" s="10">
        <f t="shared" si="25"/>
        <v>40.6</v>
      </c>
      <c r="BE7" s="10">
        <f t="shared" si="26"/>
        <v>1.4</v>
      </c>
      <c r="BF7" s="10">
        <f t="shared" si="27"/>
        <v>5.5</v>
      </c>
      <c r="BG7" s="10">
        <f t="shared" si="28"/>
        <v>0.65</v>
      </c>
      <c r="BH7" s="10">
        <v>64</v>
      </c>
      <c r="BI7" s="10" t="s">
        <v>223</v>
      </c>
      <c r="BJ7" s="10">
        <f t="shared" si="29"/>
        <v>26.39</v>
      </c>
      <c r="BK7" s="10" t="s">
        <v>235</v>
      </c>
      <c r="BL7" s="3" t="s">
        <v>329</v>
      </c>
      <c r="BM7" s="3" t="s">
        <v>339</v>
      </c>
      <c r="BN7" s="3" t="s">
        <v>271</v>
      </c>
      <c r="BO7" s="3" t="s">
        <v>312</v>
      </c>
      <c r="BP7" s="10" t="s">
        <v>226</v>
      </c>
      <c r="BQ7" s="3" t="s">
        <v>320</v>
      </c>
      <c r="BR7" s="4" t="s">
        <v>63</v>
      </c>
      <c r="BS7" s="19" t="s">
        <v>128</v>
      </c>
    </row>
    <row r="8" spans="1:71" ht="40.799999999999997" customHeight="1" x14ac:dyDescent="0.3">
      <c r="A8" s="4" t="s">
        <v>151</v>
      </c>
      <c r="B8" s="10">
        <v>9</v>
      </c>
      <c r="C8" s="10">
        <v>8</v>
      </c>
      <c r="D8" s="10">
        <v>8</v>
      </c>
      <c r="E8" s="10">
        <v>7</v>
      </c>
      <c r="F8" s="10">
        <v>8</v>
      </c>
      <c r="G8" s="10">
        <v>7</v>
      </c>
      <c r="H8" s="10">
        <v>8</v>
      </c>
      <c r="I8" s="10">
        <v>9</v>
      </c>
      <c r="J8" s="10">
        <v>8</v>
      </c>
      <c r="K8" s="10">
        <v>8</v>
      </c>
      <c r="L8" s="10">
        <f t="shared" si="0"/>
        <v>7.5</v>
      </c>
      <c r="M8" s="10">
        <f t="shared" si="1"/>
        <v>8.5</v>
      </c>
      <c r="N8" s="10">
        <f t="shared" si="2"/>
        <v>8.25</v>
      </c>
      <c r="O8" s="10">
        <f t="shared" si="3"/>
        <v>7.5</v>
      </c>
      <c r="P8" s="10">
        <f t="shared" si="4"/>
        <v>8</v>
      </c>
      <c r="Q8" s="10">
        <f t="shared" si="5"/>
        <v>7.8</v>
      </c>
      <c r="R8" s="10">
        <f t="shared" si="6"/>
        <v>-9.9999999999994316E-2</v>
      </c>
      <c r="S8" s="10">
        <f t="shared" si="7"/>
        <v>77.900000000000006</v>
      </c>
      <c r="T8" s="10">
        <f t="shared" si="8"/>
        <v>6</v>
      </c>
      <c r="U8" s="11">
        <v>8</v>
      </c>
      <c r="V8" s="10">
        <v>8</v>
      </c>
      <c r="W8" s="10">
        <v>8</v>
      </c>
      <c r="X8" s="10">
        <v>8</v>
      </c>
      <c r="Y8" s="10">
        <v>8</v>
      </c>
      <c r="Z8" s="10">
        <v>7</v>
      </c>
      <c r="AA8" s="10">
        <v>7</v>
      </c>
      <c r="AB8" s="10">
        <v>8</v>
      </c>
      <c r="AC8" s="10">
        <v>7</v>
      </c>
      <c r="AD8" s="10">
        <v>8</v>
      </c>
      <c r="AE8" s="10">
        <f t="shared" si="9"/>
        <v>7.75</v>
      </c>
      <c r="AF8" s="10">
        <f t="shared" si="10"/>
        <v>7.5</v>
      </c>
      <c r="AG8" s="10">
        <f t="shared" si="11"/>
        <v>7.75</v>
      </c>
      <c r="AH8" s="10">
        <f t="shared" si="12"/>
        <v>7.5</v>
      </c>
      <c r="AI8" s="10">
        <f t="shared" si="13"/>
        <v>8</v>
      </c>
      <c r="AJ8" s="10">
        <f t="shared" si="14"/>
        <v>7.5</v>
      </c>
      <c r="AK8" s="10">
        <f t="shared" si="15"/>
        <v>0.79999999999999716</v>
      </c>
      <c r="AL8" s="10">
        <f t="shared" si="16"/>
        <v>75.8</v>
      </c>
      <c r="AM8" s="10">
        <f t="shared" si="17"/>
        <v>2</v>
      </c>
      <c r="AN8" s="10" t="s">
        <v>72</v>
      </c>
      <c r="AO8" s="10">
        <f t="shared" si="18"/>
        <v>7.625</v>
      </c>
      <c r="AP8" s="10">
        <f t="shared" si="19"/>
        <v>8</v>
      </c>
      <c r="AQ8" s="10">
        <f t="shared" si="20"/>
        <v>8</v>
      </c>
      <c r="AR8" s="10">
        <f t="shared" si="21"/>
        <v>7.5</v>
      </c>
      <c r="AS8" s="10">
        <f t="shared" si="22"/>
        <v>76.900000000000006</v>
      </c>
      <c r="AT8" s="10">
        <f t="shared" si="23"/>
        <v>4</v>
      </c>
      <c r="AU8" s="10"/>
      <c r="AV8" s="10"/>
      <c r="AW8" s="10"/>
      <c r="AX8" s="10"/>
      <c r="AY8" s="10"/>
      <c r="AZ8" s="10"/>
      <c r="BA8" s="10" t="s">
        <v>219</v>
      </c>
      <c r="BB8" s="10"/>
      <c r="BC8" s="10">
        <f t="shared" si="24"/>
        <v>0</v>
      </c>
      <c r="BD8" s="10" t="e">
        <f t="shared" si="25"/>
        <v>#DIV/0!</v>
      </c>
      <c r="BE8" s="10" t="e">
        <f t="shared" si="26"/>
        <v>#DIV/0!</v>
      </c>
      <c r="BF8" s="8" t="e">
        <f t="shared" si="27"/>
        <v>#DIV/0!</v>
      </c>
      <c r="BG8" s="10">
        <f t="shared" si="28"/>
        <v>0</v>
      </c>
      <c r="BH8" s="10"/>
      <c r="BI8" s="10"/>
      <c r="BJ8" s="10" t="e">
        <f t="shared" si="29"/>
        <v>#DIV/0!</v>
      </c>
      <c r="BK8" s="10"/>
      <c r="BL8" s="3"/>
      <c r="BM8" s="3"/>
      <c r="BN8" s="3"/>
      <c r="BO8" s="3"/>
      <c r="BP8" s="10"/>
      <c r="BQ8" s="3"/>
      <c r="BR8" s="4" t="s">
        <v>388</v>
      </c>
      <c r="BS8" s="20" t="s">
        <v>72</v>
      </c>
    </row>
    <row r="9" spans="1:71" ht="29.4" customHeight="1" x14ac:dyDescent="0.3">
      <c r="A9" s="4" t="s">
        <v>19</v>
      </c>
      <c r="B9" s="10">
        <v>10</v>
      </c>
      <c r="C9" s="10">
        <v>8</v>
      </c>
      <c r="D9" s="10">
        <v>8</v>
      </c>
      <c r="E9" s="10">
        <v>8</v>
      </c>
      <c r="F9" s="10">
        <v>8</v>
      </c>
      <c r="G9" s="10">
        <v>7</v>
      </c>
      <c r="H9" s="10">
        <v>8</v>
      </c>
      <c r="I9" s="10">
        <v>9</v>
      </c>
      <c r="J9" s="10">
        <v>7</v>
      </c>
      <c r="K9" s="10">
        <v>8</v>
      </c>
      <c r="L9" s="10">
        <f t="shared" si="0"/>
        <v>7.75</v>
      </c>
      <c r="M9" s="10">
        <f t="shared" si="1"/>
        <v>9</v>
      </c>
      <c r="N9" s="10">
        <f t="shared" si="2"/>
        <v>8</v>
      </c>
      <c r="O9" s="10">
        <f t="shared" si="3"/>
        <v>7.5</v>
      </c>
      <c r="P9" s="10">
        <f t="shared" si="4"/>
        <v>8</v>
      </c>
      <c r="Q9" s="10">
        <f t="shared" si="5"/>
        <v>7.8</v>
      </c>
      <c r="R9" s="10">
        <f t="shared" si="6"/>
        <v>0.79999999999999716</v>
      </c>
      <c r="S9" s="10">
        <f t="shared" si="7"/>
        <v>78.8</v>
      </c>
      <c r="T9" s="10">
        <f t="shared" si="8"/>
        <v>8</v>
      </c>
      <c r="U9" s="11">
        <v>9</v>
      </c>
      <c r="V9" s="10">
        <v>8</v>
      </c>
      <c r="W9" s="10">
        <v>8</v>
      </c>
      <c r="X9" s="10">
        <v>8</v>
      </c>
      <c r="Y9" s="10">
        <v>8</v>
      </c>
      <c r="Z9" s="10">
        <v>5</v>
      </c>
      <c r="AA9" s="10">
        <v>8</v>
      </c>
      <c r="AB9" s="10">
        <v>9</v>
      </c>
      <c r="AC9" s="10">
        <v>7</v>
      </c>
      <c r="AD9" s="10">
        <v>8</v>
      </c>
      <c r="AE9" s="10">
        <f t="shared" si="9"/>
        <v>7.25</v>
      </c>
      <c r="AF9" s="10">
        <f t="shared" si="10"/>
        <v>8.5</v>
      </c>
      <c r="AG9" s="10">
        <f t="shared" si="11"/>
        <v>8</v>
      </c>
      <c r="AH9" s="10">
        <f t="shared" si="12"/>
        <v>6.5</v>
      </c>
      <c r="AI9" s="10">
        <f t="shared" si="13"/>
        <v>8</v>
      </c>
      <c r="AJ9" s="10">
        <f t="shared" si="14"/>
        <v>7.8</v>
      </c>
      <c r="AK9" s="10">
        <f t="shared" si="15"/>
        <v>-5.9000000000000057</v>
      </c>
      <c r="AL9" s="10">
        <f t="shared" si="16"/>
        <v>72.099999999999994</v>
      </c>
      <c r="AM9" s="10">
        <f t="shared" si="17"/>
        <v>14</v>
      </c>
      <c r="AN9" s="10" t="s">
        <v>175</v>
      </c>
      <c r="AO9" s="10">
        <f t="shared" si="18"/>
        <v>7.5</v>
      </c>
      <c r="AP9" s="10">
        <f t="shared" si="19"/>
        <v>8.75</v>
      </c>
      <c r="AQ9" s="10">
        <f t="shared" si="20"/>
        <v>8</v>
      </c>
      <c r="AR9" s="10">
        <f t="shared" si="21"/>
        <v>7</v>
      </c>
      <c r="AS9" s="10">
        <f t="shared" si="22"/>
        <v>75.400000000000006</v>
      </c>
      <c r="AT9" s="10">
        <f t="shared" si="23"/>
        <v>11</v>
      </c>
      <c r="AU9" s="10">
        <v>184</v>
      </c>
      <c r="AV9" s="10">
        <v>73529</v>
      </c>
      <c r="AW9" s="10">
        <v>1620</v>
      </c>
      <c r="AX9" s="10">
        <v>1108</v>
      </c>
      <c r="AY9" s="17">
        <v>43924</v>
      </c>
      <c r="AZ9" s="10" t="s">
        <v>201</v>
      </c>
      <c r="BA9" s="10" t="s">
        <v>286</v>
      </c>
      <c r="BB9" s="17">
        <v>46121</v>
      </c>
      <c r="BC9" s="10">
        <f t="shared" si="24"/>
        <v>2197</v>
      </c>
      <c r="BD9" s="10">
        <f t="shared" si="25"/>
        <v>33.5</v>
      </c>
      <c r="BE9" s="10">
        <f t="shared" si="26"/>
        <v>2.2000000000000002</v>
      </c>
      <c r="BF9" s="10">
        <f t="shared" si="27"/>
        <v>1.5</v>
      </c>
      <c r="BG9" s="10">
        <f t="shared" si="28"/>
        <v>1</v>
      </c>
      <c r="BH9" s="10">
        <v>77</v>
      </c>
      <c r="BI9" s="10" t="s">
        <v>223</v>
      </c>
      <c r="BJ9" s="10">
        <f t="shared" si="29"/>
        <v>33.5</v>
      </c>
      <c r="BK9" s="10" t="s">
        <v>135</v>
      </c>
      <c r="BL9" s="3" t="s">
        <v>359</v>
      </c>
      <c r="BM9" s="3" t="s">
        <v>360</v>
      </c>
      <c r="BN9" s="3" t="s">
        <v>361</v>
      </c>
      <c r="BO9" s="3" t="s">
        <v>362</v>
      </c>
      <c r="BP9" s="10" t="s">
        <v>286</v>
      </c>
      <c r="BQ9" s="3" t="s">
        <v>283</v>
      </c>
      <c r="BR9" s="4" t="s">
        <v>87</v>
      </c>
      <c r="BS9" s="19" t="s">
        <v>86</v>
      </c>
    </row>
    <row r="10" spans="1:71" ht="28.8" customHeight="1" x14ac:dyDescent="0.3">
      <c r="A10" s="4" t="s">
        <v>35</v>
      </c>
      <c r="B10" s="10">
        <v>9</v>
      </c>
      <c r="C10" s="10">
        <v>8</v>
      </c>
      <c r="D10" s="10">
        <v>8</v>
      </c>
      <c r="E10" s="10">
        <v>8</v>
      </c>
      <c r="F10" s="10">
        <v>8</v>
      </c>
      <c r="G10" s="10">
        <v>6</v>
      </c>
      <c r="H10" s="10">
        <v>7</v>
      </c>
      <c r="I10" s="10">
        <v>8</v>
      </c>
      <c r="J10" s="10">
        <v>8</v>
      </c>
      <c r="K10" s="10">
        <v>7</v>
      </c>
      <c r="L10" s="10">
        <f t="shared" si="0"/>
        <v>7.5</v>
      </c>
      <c r="M10" s="10">
        <f t="shared" si="1"/>
        <v>8</v>
      </c>
      <c r="N10" s="10">
        <f t="shared" si="2"/>
        <v>7.75</v>
      </c>
      <c r="O10" s="10">
        <f t="shared" si="3"/>
        <v>7</v>
      </c>
      <c r="P10" s="10">
        <f t="shared" si="4"/>
        <v>8</v>
      </c>
      <c r="Q10" s="10">
        <f t="shared" si="5"/>
        <v>7.5</v>
      </c>
      <c r="R10" s="10">
        <f t="shared" si="6"/>
        <v>-1.2000000000000028</v>
      </c>
      <c r="S10" s="10">
        <f t="shared" si="7"/>
        <v>73.8</v>
      </c>
      <c r="T10" s="10">
        <f t="shared" si="8"/>
        <v>8</v>
      </c>
      <c r="U10" s="10">
        <v>9</v>
      </c>
      <c r="V10" s="10">
        <v>8</v>
      </c>
      <c r="W10" s="10">
        <v>8</v>
      </c>
      <c r="X10" s="10">
        <v>8</v>
      </c>
      <c r="Y10" s="10">
        <v>8</v>
      </c>
      <c r="Z10" s="10">
        <v>6</v>
      </c>
      <c r="AA10" s="10">
        <v>7</v>
      </c>
      <c r="AB10" s="10">
        <v>8</v>
      </c>
      <c r="AC10" s="10">
        <v>8</v>
      </c>
      <c r="AD10" s="10">
        <v>7</v>
      </c>
      <c r="AE10" s="10">
        <f t="shared" si="9"/>
        <v>7.5</v>
      </c>
      <c r="AF10" s="10">
        <f t="shared" si="10"/>
        <v>8</v>
      </c>
      <c r="AG10" s="10">
        <f t="shared" si="11"/>
        <v>7.75</v>
      </c>
      <c r="AH10" s="10">
        <f t="shared" si="12"/>
        <v>7</v>
      </c>
      <c r="AI10" s="10">
        <f t="shared" si="13"/>
        <v>8</v>
      </c>
      <c r="AJ10" s="10">
        <f t="shared" si="14"/>
        <v>7.5</v>
      </c>
      <c r="AK10" s="10">
        <f t="shared" si="15"/>
        <v>-1.2000000000000028</v>
      </c>
      <c r="AL10" s="10">
        <f t="shared" si="16"/>
        <v>73.8</v>
      </c>
      <c r="AM10" s="10">
        <f t="shared" si="17"/>
        <v>8</v>
      </c>
      <c r="AN10" s="10" t="s">
        <v>72</v>
      </c>
      <c r="AO10" s="10">
        <f t="shared" si="18"/>
        <v>7.5</v>
      </c>
      <c r="AP10" s="10">
        <f t="shared" si="19"/>
        <v>8</v>
      </c>
      <c r="AQ10" s="10">
        <f t="shared" si="20"/>
        <v>7.75</v>
      </c>
      <c r="AR10" s="10">
        <f t="shared" si="21"/>
        <v>7</v>
      </c>
      <c r="AS10" s="10">
        <f t="shared" si="22"/>
        <v>73.8</v>
      </c>
      <c r="AT10" s="10">
        <f t="shared" si="23"/>
        <v>8</v>
      </c>
      <c r="AU10" s="10"/>
      <c r="AV10" s="10"/>
      <c r="AW10" s="10"/>
      <c r="AX10" s="10"/>
      <c r="AY10" s="10"/>
      <c r="AZ10" s="10"/>
      <c r="BA10" s="10" t="s">
        <v>219</v>
      </c>
      <c r="BB10" s="10"/>
      <c r="BC10" s="10">
        <f t="shared" si="24"/>
        <v>0</v>
      </c>
      <c r="BD10" s="10" t="e">
        <f t="shared" si="25"/>
        <v>#DIV/0!</v>
      </c>
      <c r="BE10" s="10" t="e">
        <f t="shared" si="26"/>
        <v>#DIV/0!</v>
      </c>
      <c r="BF10" s="8" t="e">
        <f t="shared" si="27"/>
        <v>#DIV/0!</v>
      </c>
      <c r="BG10" s="10">
        <f t="shared" si="28"/>
        <v>0</v>
      </c>
      <c r="BH10" s="10"/>
      <c r="BI10" s="10"/>
      <c r="BJ10" s="10" t="e">
        <f t="shared" si="29"/>
        <v>#DIV/0!</v>
      </c>
      <c r="BK10" s="10"/>
      <c r="BL10" s="3"/>
      <c r="BM10" s="3"/>
      <c r="BN10" s="3"/>
      <c r="BO10" s="3"/>
      <c r="BP10" s="10"/>
      <c r="BQ10" s="3"/>
      <c r="BR10" s="4" t="s">
        <v>121</v>
      </c>
      <c r="BS10" s="20" t="s">
        <v>72</v>
      </c>
    </row>
    <row r="11" spans="1:71" ht="48" customHeight="1" x14ac:dyDescent="0.3">
      <c r="A11" s="4" t="s">
        <v>22</v>
      </c>
      <c r="B11" s="10">
        <v>9</v>
      </c>
      <c r="C11" s="10">
        <v>9</v>
      </c>
      <c r="D11" s="10">
        <v>6</v>
      </c>
      <c r="E11" s="10">
        <v>9</v>
      </c>
      <c r="F11" s="10">
        <v>9</v>
      </c>
      <c r="G11" s="10">
        <v>8</v>
      </c>
      <c r="H11" s="10">
        <v>10</v>
      </c>
      <c r="I11" s="10">
        <v>9</v>
      </c>
      <c r="J11" s="10">
        <v>7</v>
      </c>
      <c r="K11" s="10">
        <v>8</v>
      </c>
      <c r="L11" s="10">
        <f t="shared" si="0"/>
        <v>8.75</v>
      </c>
      <c r="M11" s="10">
        <f t="shared" si="1"/>
        <v>9.5</v>
      </c>
      <c r="N11" s="10">
        <f t="shared" si="2"/>
        <v>7.5</v>
      </c>
      <c r="O11" s="10">
        <f t="shared" si="3"/>
        <v>7</v>
      </c>
      <c r="P11" s="10">
        <f t="shared" si="4"/>
        <v>8</v>
      </c>
      <c r="Q11" s="10">
        <f t="shared" si="5"/>
        <v>8.5</v>
      </c>
      <c r="R11" s="10">
        <f t="shared" si="6"/>
        <v>-2.0999999999999943</v>
      </c>
      <c r="S11" s="10">
        <f t="shared" si="7"/>
        <v>77.900000000000006</v>
      </c>
      <c r="T11" s="10">
        <f t="shared" si="8"/>
        <v>16</v>
      </c>
      <c r="U11" s="11">
        <v>9</v>
      </c>
      <c r="V11" s="10">
        <v>9</v>
      </c>
      <c r="W11" s="10">
        <v>6</v>
      </c>
      <c r="X11" s="10">
        <v>9</v>
      </c>
      <c r="Y11" s="10">
        <v>9</v>
      </c>
      <c r="Z11" s="10">
        <v>5</v>
      </c>
      <c r="AA11" s="10">
        <v>10</v>
      </c>
      <c r="AB11" s="10">
        <v>9</v>
      </c>
      <c r="AC11" s="10">
        <v>6</v>
      </c>
      <c r="AD11" s="10">
        <v>10</v>
      </c>
      <c r="AE11" s="10">
        <f t="shared" si="9"/>
        <v>8</v>
      </c>
      <c r="AF11" s="10">
        <f t="shared" si="10"/>
        <v>9.5</v>
      </c>
      <c r="AG11" s="10">
        <f t="shared" si="11"/>
        <v>7.75</v>
      </c>
      <c r="AH11" s="10">
        <f t="shared" si="12"/>
        <v>5.5</v>
      </c>
      <c r="AI11" s="10">
        <f t="shared" si="13"/>
        <v>8</v>
      </c>
      <c r="AJ11" s="10">
        <f t="shared" si="14"/>
        <v>8.8000000000000007</v>
      </c>
      <c r="AK11" s="10">
        <f t="shared" si="15"/>
        <v>-10.400000000000006</v>
      </c>
      <c r="AL11" s="10">
        <f t="shared" si="16"/>
        <v>69.599999999999994</v>
      </c>
      <c r="AM11" s="10">
        <f t="shared" si="17"/>
        <v>29</v>
      </c>
      <c r="AN11" s="10" t="s">
        <v>175</v>
      </c>
      <c r="AO11" s="10">
        <f t="shared" si="18"/>
        <v>8.375</v>
      </c>
      <c r="AP11" s="10">
        <f t="shared" si="19"/>
        <v>9.5</v>
      </c>
      <c r="AQ11" s="10">
        <f t="shared" si="20"/>
        <v>7.625</v>
      </c>
      <c r="AR11" s="10">
        <f t="shared" si="21"/>
        <v>6.25</v>
      </c>
      <c r="AS11" s="10">
        <f t="shared" si="22"/>
        <v>73.8</v>
      </c>
      <c r="AT11" s="10">
        <f t="shared" si="23"/>
        <v>23</v>
      </c>
      <c r="AU11" s="10">
        <v>151</v>
      </c>
      <c r="AV11" s="10">
        <v>12725</v>
      </c>
      <c r="AW11" s="10">
        <v>239</v>
      </c>
      <c r="AX11" s="10">
        <v>597</v>
      </c>
      <c r="AY11" s="17">
        <v>44428</v>
      </c>
      <c r="AZ11" s="10" t="s">
        <v>201</v>
      </c>
      <c r="BA11" s="10" t="s">
        <v>26</v>
      </c>
      <c r="BB11" s="17">
        <v>46121</v>
      </c>
      <c r="BC11" s="10">
        <f t="shared" si="24"/>
        <v>1693</v>
      </c>
      <c r="BD11" s="10">
        <f t="shared" si="25"/>
        <v>7.5</v>
      </c>
      <c r="BE11" s="10">
        <f t="shared" si="26"/>
        <v>1.9</v>
      </c>
      <c r="BF11" s="10">
        <f t="shared" si="27"/>
        <v>4.7</v>
      </c>
      <c r="BG11" s="10">
        <f t="shared" si="28"/>
        <v>0.98</v>
      </c>
      <c r="BH11" s="10">
        <v>69</v>
      </c>
      <c r="BI11" s="10" t="s">
        <v>223</v>
      </c>
      <c r="BJ11" s="10">
        <f t="shared" si="29"/>
        <v>7.35</v>
      </c>
      <c r="BK11" s="10" t="s">
        <v>235</v>
      </c>
      <c r="BL11" s="3" t="s">
        <v>297</v>
      </c>
      <c r="BM11" s="3" t="s">
        <v>383</v>
      </c>
      <c r="BN11" s="3" t="s">
        <v>384</v>
      </c>
      <c r="BO11" s="3" t="s">
        <v>317</v>
      </c>
      <c r="BP11" s="10" t="s">
        <v>237</v>
      </c>
      <c r="BQ11" s="3" t="s">
        <v>323</v>
      </c>
      <c r="BR11" s="4" t="s">
        <v>104</v>
      </c>
      <c r="BS11" s="19" t="s">
        <v>103</v>
      </c>
    </row>
    <row r="12" spans="1:71" ht="27" customHeight="1" x14ac:dyDescent="0.3">
      <c r="A12" s="4" t="s">
        <v>7</v>
      </c>
      <c r="B12" s="10">
        <v>10</v>
      </c>
      <c r="C12" s="10">
        <v>7</v>
      </c>
      <c r="D12" s="10">
        <v>8</v>
      </c>
      <c r="E12" s="10">
        <v>7.5</v>
      </c>
      <c r="F12" s="10">
        <v>7</v>
      </c>
      <c r="G12" s="10">
        <v>7</v>
      </c>
      <c r="H12" s="10">
        <v>8</v>
      </c>
      <c r="I12" s="10">
        <v>8</v>
      </c>
      <c r="J12" s="10">
        <v>7</v>
      </c>
      <c r="K12" s="10">
        <v>5</v>
      </c>
      <c r="L12" s="10">
        <f t="shared" si="0"/>
        <v>7.125</v>
      </c>
      <c r="M12" s="10">
        <f t="shared" si="1"/>
        <v>9</v>
      </c>
      <c r="N12" s="10">
        <f t="shared" si="2"/>
        <v>7</v>
      </c>
      <c r="O12" s="10">
        <f t="shared" si="3"/>
        <v>7.5</v>
      </c>
      <c r="P12" s="10">
        <f t="shared" si="4"/>
        <v>7.3</v>
      </c>
      <c r="Q12" s="10">
        <f t="shared" si="5"/>
        <v>6.9</v>
      </c>
      <c r="R12" s="10">
        <f t="shared" si="6"/>
        <v>4.5</v>
      </c>
      <c r="S12" s="10">
        <f t="shared" si="7"/>
        <v>73.5</v>
      </c>
      <c r="T12" s="10">
        <f t="shared" si="8"/>
        <v>7</v>
      </c>
      <c r="U12" s="11">
        <v>9</v>
      </c>
      <c r="V12" s="10">
        <v>8</v>
      </c>
      <c r="W12" s="10">
        <v>8</v>
      </c>
      <c r="X12" s="10">
        <v>7</v>
      </c>
      <c r="Y12" s="10">
        <v>7</v>
      </c>
      <c r="Z12" s="10">
        <v>6</v>
      </c>
      <c r="AA12" s="10">
        <v>7</v>
      </c>
      <c r="AB12" s="10">
        <v>8</v>
      </c>
      <c r="AC12" s="10">
        <v>8</v>
      </c>
      <c r="AD12" s="10">
        <v>7</v>
      </c>
      <c r="AE12" s="10">
        <f t="shared" si="9"/>
        <v>7</v>
      </c>
      <c r="AF12" s="10">
        <f t="shared" si="10"/>
        <v>8</v>
      </c>
      <c r="AG12" s="10">
        <f t="shared" si="11"/>
        <v>7.75</v>
      </c>
      <c r="AH12" s="10">
        <f t="shared" si="12"/>
        <v>7</v>
      </c>
      <c r="AI12" s="10">
        <f t="shared" si="13"/>
        <v>7.7</v>
      </c>
      <c r="AJ12" s="10">
        <f t="shared" si="14"/>
        <v>7.3</v>
      </c>
      <c r="AK12" s="10">
        <f t="shared" si="15"/>
        <v>-9.9999999999994316E-2</v>
      </c>
      <c r="AL12" s="10">
        <f t="shared" si="16"/>
        <v>72.900000000000006</v>
      </c>
      <c r="AM12" s="10">
        <f t="shared" si="17"/>
        <v>6</v>
      </c>
      <c r="AN12" s="10" t="s">
        <v>175</v>
      </c>
      <c r="AO12" s="10">
        <f t="shared" si="18"/>
        <v>7.0625</v>
      </c>
      <c r="AP12" s="10">
        <f t="shared" si="19"/>
        <v>8.5</v>
      </c>
      <c r="AQ12" s="10">
        <f t="shared" si="20"/>
        <v>7.375</v>
      </c>
      <c r="AR12" s="10">
        <f t="shared" si="21"/>
        <v>7.25</v>
      </c>
      <c r="AS12" s="10">
        <f t="shared" si="22"/>
        <v>73.5</v>
      </c>
      <c r="AT12" s="10">
        <f t="shared" si="23"/>
        <v>6</v>
      </c>
      <c r="AU12" s="10">
        <v>146</v>
      </c>
      <c r="AV12" s="10">
        <v>34697</v>
      </c>
      <c r="AW12" s="10">
        <v>846</v>
      </c>
      <c r="AX12" s="10">
        <v>237</v>
      </c>
      <c r="AY12" s="17">
        <v>42614</v>
      </c>
      <c r="AZ12" s="10" t="s">
        <v>201</v>
      </c>
      <c r="BA12" s="10" t="s">
        <v>27</v>
      </c>
      <c r="BB12" s="17">
        <v>46121</v>
      </c>
      <c r="BC12" s="10">
        <f t="shared" si="24"/>
        <v>3507</v>
      </c>
      <c r="BD12" s="10">
        <f t="shared" si="25"/>
        <v>9.9</v>
      </c>
      <c r="BE12" s="10">
        <f t="shared" si="26"/>
        <v>2.4</v>
      </c>
      <c r="BF12" s="10">
        <f t="shared" si="27"/>
        <v>0.7</v>
      </c>
      <c r="BG12" s="10">
        <f t="shared" si="28"/>
        <v>1</v>
      </c>
      <c r="BH12" s="10">
        <v>72</v>
      </c>
      <c r="BI12" s="10" t="s">
        <v>223</v>
      </c>
      <c r="BJ12" s="10">
        <f t="shared" si="29"/>
        <v>9.9</v>
      </c>
      <c r="BK12" s="10" t="s">
        <v>135</v>
      </c>
      <c r="BL12" s="3" t="s">
        <v>369</v>
      </c>
      <c r="BM12" s="3" t="s">
        <v>230</v>
      </c>
      <c r="BN12" s="3" t="s">
        <v>231</v>
      </c>
      <c r="BO12" s="3" t="s">
        <v>232</v>
      </c>
      <c r="BP12" s="10" t="s">
        <v>229</v>
      </c>
      <c r="BQ12" s="3" t="s">
        <v>273</v>
      </c>
      <c r="BR12" s="4" t="s">
        <v>68</v>
      </c>
      <c r="BS12" s="19" t="s">
        <v>67</v>
      </c>
    </row>
    <row r="13" spans="1:71" ht="42.6" customHeight="1" x14ac:dyDescent="0.3">
      <c r="A13" s="4" t="s">
        <v>14</v>
      </c>
      <c r="B13" s="10">
        <v>10</v>
      </c>
      <c r="C13" s="10">
        <v>8</v>
      </c>
      <c r="D13" s="10">
        <v>8</v>
      </c>
      <c r="E13" s="10">
        <v>7.5</v>
      </c>
      <c r="F13" s="10">
        <v>9</v>
      </c>
      <c r="G13" s="10">
        <v>7</v>
      </c>
      <c r="H13" s="10">
        <v>5</v>
      </c>
      <c r="I13" s="10">
        <v>6</v>
      </c>
      <c r="J13" s="10">
        <v>6</v>
      </c>
      <c r="K13" s="10">
        <v>8</v>
      </c>
      <c r="L13" s="10">
        <f t="shared" si="0"/>
        <v>7.875</v>
      </c>
      <c r="M13" s="10">
        <f t="shared" si="1"/>
        <v>7.5</v>
      </c>
      <c r="N13" s="10">
        <f t="shared" si="2"/>
        <v>7</v>
      </c>
      <c r="O13" s="10">
        <f t="shared" si="3"/>
        <v>7.5</v>
      </c>
      <c r="P13" s="10">
        <f t="shared" si="4"/>
        <v>8.3000000000000007</v>
      </c>
      <c r="Q13" s="10">
        <f t="shared" si="5"/>
        <v>6.6</v>
      </c>
      <c r="R13" s="10">
        <f t="shared" si="6"/>
        <v>6.2999999999999972</v>
      </c>
      <c r="S13" s="10">
        <f t="shared" si="7"/>
        <v>72.3</v>
      </c>
      <c r="T13" s="10">
        <f t="shared" si="8"/>
        <v>5</v>
      </c>
      <c r="U13" s="11">
        <v>10</v>
      </c>
      <c r="V13" s="10">
        <v>7</v>
      </c>
      <c r="W13" s="10">
        <v>8</v>
      </c>
      <c r="X13" s="10">
        <v>8</v>
      </c>
      <c r="Y13" s="10">
        <v>9</v>
      </c>
      <c r="Z13" s="10">
        <v>5</v>
      </c>
      <c r="AA13" s="10">
        <v>8</v>
      </c>
      <c r="AB13" s="10">
        <v>7</v>
      </c>
      <c r="AC13" s="10">
        <v>6</v>
      </c>
      <c r="AD13" s="10">
        <v>8</v>
      </c>
      <c r="AE13" s="10">
        <f t="shared" si="9"/>
        <v>7.25</v>
      </c>
      <c r="AF13" s="10">
        <f t="shared" si="10"/>
        <v>9</v>
      </c>
      <c r="AG13" s="10">
        <f t="shared" si="11"/>
        <v>7.25</v>
      </c>
      <c r="AH13" s="10">
        <f t="shared" si="12"/>
        <v>6.5</v>
      </c>
      <c r="AI13" s="10">
        <f t="shared" si="13"/>
        <v>8</v>
      </c>
      <c r="AJ13" s="10">
        <f t="shared" si="14"/>
        <v>7.5</v>
      </c>
      <c r="AK13" s="10">
        <f t="shared" si="15"/>
        <v>-3.2999999999999972</v>
      </c>
      <c r="AL13" s="10">
        <f t="shared" si="16"/>
        <v>71.7</v>
      </c>
      <c r="AM13" s="10">
        <f t="shared" si="17"/>
        <v>13</v>
      </c>
      <c r="AN13" s="10" t="s">
        <v>175</v>
      </c>
      <c r="AO13" s="10">
        <f t="shared" si="18"/>
        <v>7.5625</v>
      </c>
      <c r="AP13" s="10">
        <f t="shared" si="19"/>
        <v>8.25</v>
      </c>
      <c r="AQ13" s="10">
        <f t="shared" si="20"/>
        <v>7.125</v>
      </c>
      <c r="AR13" s="10">
        <f t="shared" si="21"/>
        <v>7</v>
      </c>
      <c r="AS13" s="10">
        <f t="shared" si="22"/>
        <v>73.2</v>
      </c>
      <c r="AT13" s="10">
        <f t="shared" si="23"/>
        <v>6</v>
      </c>
      <c r="AU13" s="10">
        <v>110</v>
      </c>
      <c r="AV13" s="10">
        <v>44624</v>
      </c>
      <c r="AW13" s="10">
        <v>1168</v>
      </c>
      <c r="AX13" s="10">
        <v>471</v>
      </c>
      <c r="AY13" s="17">
        <v>44824</v>
      </c>
      <c r="AZ13" s="10" t="s">
        <v>203</v>
      </c>
      <c r="BA13" s="10" t="s">
        <v>25</v>
      </c>
      <c r="BB13" s="17">
        <v>46121</v>
      </c>
      <c r="BC13" s="10">
        <f t="shared" si="24"/>
        <v>1297</v>
      </c>
      <c r="BD13" s="10">
        <f t="shared" si="25"/>
        <v>34.4</v>
      </c>
      <c r="BE13" s="10">
        <f t="shared" si="26"/>
        <v>2.6</v>
      </c>
      <c r="BF13" s="10">
        <f t="shared" si="27"/>
        <v>1.1000000000000001</v>
      </c>
      <c r="BG13" s="10">
        <f t="shared" si="28"/>
        <v>0.97</v>
      </c>
      <c r="BH13" s="10">
        <v>79</v>
      </c>
      <c r="BI13" s="10" t="s">
        <v>223</v>
      </c>
      <c r="BJ13" s="10">
        <f t="shared" si="29"/>
        <v>33.367999999999995</v>
      </c>
      <c r="BK13" s="10" t="s">
        <v>135</v>
      </c>
      <c r="BL13" s="3" t="s">
        <v>301</v>
      </c>
      <c r="BM13" s="3" t="s">
        <v>302</v>
      </c>
      <c r="BN13" s="3" t="s">
        <v>345</v>
      </c>
      <c r="BO13" s="3" t="s">
        <v>344</v>
      </c>
      <c r="BP13" s="10" t="s">
        <v>226</v>
      </c>
      <c r="BQ13" s="3" t="s">
        <v>327</v>
      </c>
      <c r="BR13" s="4" t="s">
        <v>114</v>
      </c>
      <c r="BS13" s="19" t="s">
        <v>113</v>
      </c>
    </row>
    <row r="14" spans="1:71" ht="41.4" customHeight="1" x14ac:dyDescent="0.3">
      <c r="A14" s="4" t="s">
        <v>129</v>
      </c>
      <c r="B14" s="10">
        <v>10</v>
      </c>
      <c r="C14" s="10">
        <v>9</v>
      </c>
      <c r="D14" s="10">
        <v>8</v>
      </c>
      <c r="E14" s="10">
        <v>8.5</v>
      </c>
      <c r="F14" s="10">
        <v>9</v>
      </c>
      <c r="G14" s="10">
        <v>7</v>
      </c>
      <c r="H14" s="10">
        <v>5</v>
      </c>
      <c r="I14" s="10">
        <v>6</v>
      </c>
      <c r="J14" s="10">
        <v>8</v>
      </c>
      <c r="K14" s="10">
        <v>5</v>
      </c>
      <c r="L14" s="10">
        <f t="shared" si="0"/>
        <v>8.375</v>
      </c>
      <c r="M14" s="10">
        <f t="shared" si="1"/>
        <v>7.5</v>
      </c>
      <c r="N14" s="10">
        <f t="shared" si="2"/>
        <v>6.75</v>
      </c>
      <c r="O14" s="10">
        <f t="shared" si="3"/>
        <v>7.5</v>
      </c>
      <c r="P14" s="10">
        <f t="shared" si="4"/>
        <v>8.6999999999999993</v>
      </c>
      <c r="Q14" s="10">
        <f t="shared" si="5"/>
        <v>6.6</v>
      </c>
      <c r="R14" s="10">
        <f t="shared" si="6"/>
        <v>5.5</v>
      </c>
      <c r="S14" s="10">
        <f t="shared" si="7"/>
        <v>71.5</v>
      </c>
      <c r="T14" s="10">
        <f t="shared" si="8"/>
        <v>8</v>
      </c>
      <c r="U14" s="11">
        <v>9</v>
      </c>
      <c r="V14" s="10">
        <v>9</v>
      </c>
      <c r="W14" s="10">
        <v>8</v>
      </c>
      <c r="X14" s="10">
        <v>7</v>
      </c>
      <c r="Y14" s="10">
        <v>9</v>
      </c>
      <c r="Z14" s="10">
        <v>8</v>
      </c>
      <c r="AA14" s="10">
        <v>5</v>
      </c>
      <c r="AB14" s="10">
        <v>8</v>
      </c>
      <c r="AC14" s="10">
        <v>8</v>
      </c>
      <c r="AD14" s="10">
        <v>5</v>
      </c>
      <c r="AE14" s="10">
        <f t="shared" si="9"/>
        <v>8.25</v>
      </c>
      <c r="AF14" s="10">
        <f t="shared" si="10"/>
        <v>7</v>
      </c>
      <c r="AG14" s="10">
        <f t="shared" si="11"/>
        <v>7.25</v>
      </c>
      <c r="AH14" s="10">
        <f t="shared" si="12"/>
        <v>8</v>
      </c>
      <c r="AI14" s="10">
        <f t="shared" si="13"/>
        <v>8.6999999999999993</v>
      </c>
      <c r="AJ14" s="10">
        <f t="shared" si="14"/>
        <v>6.3</v>
      </c>
      <c r="AK14" s="10">
        <f t="shared" si="15"/>
        <v>9.5</v>
      </c>
      <c r="AL14" s="10">
        <f t="shared" si="16"/>
        <v>72.5</v>
      </c>
      <c r="AM14" s="10">
        <f t="shared" si="17"/>
        <v>5</v>
      </c>
      <c r="AN14" s="10" t="s">
        <v>175</v>
      </c>
      <c r="AO14" s="10">
        <f t="shared" si="18"/>
        <v>8.3125</v>
      </c>
      <c r="AP14" s="10">
        <f t="shared" si="19"/>
        <v>7.25</v>
      </c>
      <c r="AQ14" s="10">
        <f t="shared" si="20"/>
        <v>7</v>
      </c>
      <c r="AR14" s="10">
        <f t="shared" si="21"/>
        <v>7.75</v>
      </c>
      <c r="AS14" s="10">
        <f t="shared" si="22"/>
        <v>72.599999999999994</v>
      </c>
      <c r="AT14" s="10">
        <f t="shared" si="23"/>
        <v>5</v>
      </c>
      <c r="AU14" s="10">
        <v>47</v>
      </c>
      <c r="AV14" s="10">
        <v>10247</v>
      </c>
      <c r="AW14" s="10">
        <v>518</v>
      </c>
      <c r="AX14" s="10">
        <v>149</v>
      </c>
      <c r="AY14" s="17">
        <v>44272</v>
      </c>
      <c r="AZ14" s="10" t="s">
        <v>201</v>
      </c>
      <c r="BA14" s="10" t="s">
        <v>286</v>
      </c>
      <c r="BB14" s="17">
        <v>46121</v>
      </c>
      <c r="BC14" s="10">
        <f t="shared" si="24"/>
        <v>1849</v>
      </c>
      <c r="BD14" s="10">
        <f t="shared" si="25"/>
        <v>5.5</v>
      </c>
      <c r="BE14" s="10">
        <f t="shared" si="26"/>
        <v>5.0999999999999996</v>
      </c>
      <c r="BF14" s="10">
        <f t="shared" si="27"/>
        <v>1.5</v>
      </c>
      <c r="BG14" s="10">
        <f t="shared" si="28"/>
        <v>0.99</v>
      </c>
      <c r="BH14" s="10">
        <v>73</v>
      </c>
      <c r="BI14" s="10" t="s">
        <v>223</v>
      </c>
      <c r="BJ14" s="10">
        <f t="shared" si="29"/>
        <v>5.4450000000000003</v>
      </c>
      <c r="BK14" s="10" t="s">
        <v>135</v>
      </c>
      <c r="BL14" s="3" t="s">
        <v>363</v>
      </c>
      <c r="BM14" s="3" t="s">
        <v>364</v>
      </c>
      <c r="BN14" s="3" t="s">
        <v>261</v>
      </c>
      <c r="BO14" s="3" t="s">
        <v>262</v>
      </c>
      <c r="BP14" s="10" t="s">
        <v>286</v>
      </c>
      <c r="BQ14" s="3" t="s">
        <v>287</v>
      </c>
      <c r="BR14" s="4" t="s">
        <v>131</v>
      </c>
      <c r="BS14" s="19" t="s">
        <v>130</v>
      </c>
    </row>
    <row r="15" spans="1:71" ht="29.4" customHeight="1" x14ac:dyDescent="0.3">
      <c r="A15" s="4" t="s">
        <v>30</v>
      </c>
      <c r="B15" s="10">
        <v>8</v>
      </c>
      <c r="C15" s="10">
        <v>8</v>
      </c>
      <c r="D15" s="10">
        <v>8</v>
      </c>
      <c r="E15" s="10">
        <v>8</v>
      </c>
      <c r="F15" s="10">
        <v>3</v>
      </c>
      <c r="G15" s="10">
        <v>5</v>
      </c>
      <c r="H15" s="10">
        <v>8</v>
      </c>
      <c r="I15" s="10">
        <v>8</v>
      </c>
      <c r="J15" s="10">
        <v>7</v>
      </c>
      <c r="K15" s="10">
        <v>7</v>
      </c>
      <c r="L15" s="10">
        <f t="shared" si="0"/>
        <v>6</v>
      </c>
      <c r="M15" s="10">
        <f t="shared" si="1"/>
        <v>8</v>
      </c>
      <c r="N15" s="10">
        <f t="shared" si="2"/>
        <v>7.5</v>
      </c>
      <c r="O15" s="10">
        <f t="shared" si="3"/>
        <v>6.5</v>
      </c>
      <c r="P15" s="10">
        <f t="shared" si="4"/>
        <v>6.3</v>
      </c>
      <c r="Q15" s="10">
        <f t="shared" si="5"/>
        <v>7.5</v>
      </c>
      <c r="R15" s="10">
        <f t="shared" si="6"/>
        <v>2.7999999999999972</v>
      </c>
      <c r="S15" s="10">
        <f t="shared" si="7"/>
        <v>65.8</v>
      </c>
      <c r="T15" s="10">
        <f t="shared" si="8"/>
        <v>12</v>
      </c>
      <c r="U15" s="11">
        <v>6</v>
      </c>
      <c r="V15" s="10">
        <v>9</v>
      </c>
      <c r="W15" s="10">
        <v>9</v>
      </c>
      <c r="X15" s="10">
        <v>8</v>
      </c>
      <c r="Y15" s="10">
        <v>8</v>
      </c>
      <c r="Z15" s="10">
        <v>8</v>
      </c>
      <c r="AA15" s="10">
        <v>7</v>
      </c>
      <c r="AB15" s="10">
        <v>8</v>
      </c>
      <c r="AC15" s="10">
        <v>6</v>
      </c>
      <c r="AD15" s="10">
        <v>7</v>
      </c>
      <c r="AE15" s="10">
        <f t="shared" si="9"/>
        <v>8.25</v>
      </c>
      <c r="AF15" s="10">
        <f t="shared" si="10"/>
        <v>6.5</v>
      </c>
      <c r="AG15" s="10">
        <f t="shared" si="11"/>
        <v>7.5</v>
      </c>
      <c r="AH15" s="10">
        <f t="shared" si="12"/>
        <v>8.5</v>
      </c>
      <c r="AI15" s="10">
        <f t="shared" si="13"/>
        <v>8.6999999999999993</v>
      </c>
      <c r="AJ15" s="10">
        <f t="shared" si="14"/>
        <v>7</v>
      </c>
      <c r="AK15" s="10">
        <f t="shared" si="15"/>
        <v>4.5999999999999943</v>
      </c>
      <c r="AL15" s="10">
        <f t="shared" si="16"/>
        <v>69.599999999999994</v>
      </c>
      <c r="AM15" s="10">
        <f t="shared" si="17"/>
        <v>9</v>
      </c>
      <c r="AN15" s="10" t="s">
        <v>72</v>
      </c>
      <c r="AO15" s="10">
        <f t="shared" si="18"/>
        <v>7.125</v>
      </c>
      <c r="AP15" s="10">
        <f t="shared" si="19"/>
        <v>7.25</v>
      </c>
      <c r="AQ15" s="10">
        <f t="shared" si="20"/>
        <v>7.5</v>
      </c>
      <c r="AR15" s="10">
        <f t="shared" si="21"/>
        <v>7.5</v>
      </c>
      <c r="AS15" s="10">
        <f t="shared" si="22"/>
        <v>72.099999999999994</v>
      </c>
      <c r="AT15" s="10">
        <f t="shared" si="23"/>
        <v>2</v>
      </c>
      <c r="AU15" s="10"/>
      <c r="AV15" s="10"/>
      <c r="AW15" s="10"/>
      <c r="AX15" s="10"/>
      <c r="AY15" s="10"/>
      <c r="AZ15" s="10"/>
      <c r="BA15" s="10" t="s">
        <v>219</v>
      </c>
      <c r="BB15" s="10"/>
      <c r="BC15" s="10">
        <f t="shared" si="24"/>
        <v>0</v>
      </c>
      <c r="BD15" s="10" t="e">
        <f t="shared" si="25"/>
        <v>#DIV/0!</v>
      </c>
      <c r="BE15" s="10" t="e">
        <f t="shared" si="26"/>
        <v>#DIV/0!</v>
      </c>
      <c r="BF15" s="8" t="e">
        <f t="shared" si="27"/>
        <v>#DIV/0!</v>
      </c>
      <c r="BG15" s="10">
        <f t="shared" si="28"/>
        <v>0</v>
      </c>
      <c r="BH15" s="10"/>
      <c r="BI15" s="10"/>
      <c r="BJ15" s="10" t="e">
        <f t="shared" si="29"/>
        <v>#DIV/0!</v>
      </c>
      <c r="BK15" s="10"/>
      <c r="BL15" s="3"/>
      <c r="BM15" s="3"/>
      <c r="BN15" s="3"/>
      <c r="BO15" s="3"/>
      <c r="BP15" s="10"/>
      <c r="BQ15" s="3"/>
      <c r="BR15" s="4" t="s">
        <v>116</v>
      </c>
      <c r="BS15" s="20" t="s">
        <v>72</v>
      </c>
    </row>
    <row r="16" spans="1:71" ht="42.6" customHeight="1" x14ac:dyDescent="0.3">
      <c r="A16" s="4" t="s">
        <v>124</v>
      </c>
      <c r="B16" s="10">
        <v>10</v>
      </c>
      <c r="C16" s="10">
        <v>9</v>
      </c>
      <c r="D16" s="10">
        <v>6</v>
      </c>
      <c r="E16" s="10">
        <v>8</v>
      </c>
      <c r="F16" s="10">
        <v>8</v>
      </c>
      <c r="G16" s="10">
        <v>8</v>
      </c>
      <c r="H16" s="10">
        <v>10</v>
      </c>
      <c r="I16" s="10">
        <v>7</v>
      </c>
      <c r="J16" s="10">
        <v>7</v>
      </c>
      <c r="K16" s="10">
        <v>8</v>
      </c>
      <c r="L16" s="10">
        <f t="shared" si="0"/>
        <v>8.25</v>
      </c>
      <c r="M16" s="10">
        <f t="shared" si="1"/>
        <v>10</v>
      </c>
      <c r="N16" s="10">
        <f t="shared" si="2"/>
        <v>7</v>
      </c>
      <c r="O16" s="10">
        <f t="shared" si="3"/>
        <v>7</v>
      </c>
      <c r="P16" s="10">
        <f t="shared" si="4"/>
        <v>7.7</v>
      </c>
      <c r="Q16" s="10">
        <f t="shared" si="5"/>
        <v>8.3000000000000007</v>
      </c>
      <c r="R16" s="10">
        <f t="shared" si="6"/>
        <v>9.9999999999994316E-2</v>
      </c>
      <c r="S16" s="10">
        <f t="shared" si="7"/>
        <v>77.099999999999994</v>
      </c>
      <c r="T16" s="10">
        <f t="shared" si="8"/>
        <v>14</v>
      </c>
      <c r="U16" s="11">
        <v>10</v>
      </c>
      <c r="V16" s="10">
        <v>9</v>
      </c>
      <c r="W16" s="10">
        <v>7</v>
      </c>
      <c r="X16" s="10">
        <v>9</v>
      </c>
      <c r="Y16" s="10">
        <v>9</v>
      </c>
      <c r="Z16" s="10">
        <v>3</v>
      </c>
      <c r="AA16" s="10">
        <v>9</v>
      </c>
      <c r="AB16" s="10">
        <v>8</v>
      </c>
      <c r="AC16" s="10">
        <v>5</v>
      </c>
      <c r="AD16" s="10">
        <v>10</v>
      </c>
      <c r="AE16" s="10">
        <f t="shared" si="9"/>
        <v>7.5</v>
      </c>
      <c r="AF16" s="10">
        <f t="shared" si="10"/>
        <v>9.5</v>
      </c>
      <c r="AG16" s="10">
        <f t="shared" si="11"/>
        <v>7.5</v>
      </c>
      <c r="AH16" s="10">
        <f t="shared" si="12"/>
        <v>5</v>
      </c>
      <c r="AI16" s="10">
        <f t="shared" si="13"/>
        <v>8.3000000000000007</v>
      </c>
      <c r="AJ16" s="10">
        <f t="shared" si="14"/>
        <v>8.3000000000000007</v>
      </c>
      <c r="AK16" s="10">
        <f t="shared" si="15"/>
        <v>-17.200000000000003</v>
      </c>
      <c r="AL16" s="10">
        <f t="shared" si="16"/>
        <v>65.8</v>
      </c>
      <c r="AM16" s="10">
        <f t="shared" si="17"/>
        <v>32</v>
      </c>
      <c r="AN16" s="10" t="s">
        <v>175</v>
      </c>
      <c r="AO16" s="10">
        <f t="shared" si="18"/>
        <v>7.875</v>
      </c>
      <c r="AP16" s="10">
        <f t="shared" si="19"/>
        <v>9.75</v>
      </c>
      <c r="AQ16" s="10">
        <f t="shared" si="20"/>
        <v>7.25</v>
      </c>
      <c r="AR16" s="10">
        <f t="shared" si="21"/>
        <v>6</v>
      </c>
      <c r="AS16" s="10">
        <f t="shared" si="22"/>
        <v>71.5</v>
      </c>
      <c r="AT16" s="10">
        <f t="shared" si="23"/>
        <v>23</v>
      </c>
      <c r="AU16" s="10">
        <v>189</v>
      </c>
      <c r="AV16" s="10">
        <v>55616</v>
      </c>
      <c r="AW16" s="10">
        <v>793</v>
      </c>
      <c r="AX16" s="10">
        <v>419</v>
      </c>
      <c r="AY16" s="17">
        <v>44147</v>
      </c>
      <c r="AZ16" s="10" t="s">
        <v>201</v>
      </c>
      <c r="BA16" s="10" t="s">
        <v>27</v>
      </c>
      <c r="BB16" s="17">
        <v>46121</v>
      </c>
      <c r="BC16" s="10">
        <f t="shared" si="24"/>
        <v>1974</v>
      </c>
      <c r="BD16" s="10">
        <f t="shared" si="25"/>
        <v>28.2</v>
      </c>
      <c r="BE16" s="10">
        <f t="shared" si="26"/>
        <v>1.4</v>
      </c>
      <c r="BF16" s="10">
        <f t="shared" si="27"/>
        <v>0.8</v>
      </c>
      <c r="BG16" s="10">
        <f t="shared" si="28"/>
        <v>0.99</v>
      </c>
      <c r="BH16" s="10">
        <v>69</v>
      </c>
      <c r="BI16" s="10" t="s">
        <v>223</v>
      </c>
      <c r="BJ16" s="10">
        <f t="shared" si="29"/>
        <v>27.917999999999999</v>
      </c>
      <c r="BK16" s="10" t="s">
        <v>235</v>
      </c>
      <c r="BL16" s="3" t="s">
        <v>370</v>
      </c>
      <c r="BM16" s="3" t="s">
        <v>371</v>
      </c>
      <c r="BN16" s="3" t="s">
        <v>253</v>
      </c>
      <c r="BO16" s="3" t="s">
        <v>372</v>
      </c>
      <c r="BP16" s="10" t="s">
        <v>229</v>
      </c>
      <c r="BQ16" s="3" t="s">
        <v>282</v>
      </c>
      <c r="BR16" s="4" t="s">
        <v>85</v>
      </c>
      <c r="BS16" s="19" t="s">
        <v>84</v>
      </c>
    </row>
    <row r="17" spans="1:71" ht="28.8" customHeight="1" x14ac:dyDescent="0.3">
      <c r="A17" s="4" t="s">
        <v>0</v>
      </c>
      <c r="B17" s="10">
        <v>8</v>
      </c>
      <c r="C17" s="10">
        <v>8</v>
      </c>
      <c r="D17" s="10">
        <v>9</v>
      </c>
      <c r="E17" s="10">
        <v>7</v>
      </c>
      <c r="F17" s="10">
        <v>8</v>
      </c>
      <c r="G17" s="10">
        <v>6</v>
      </c>
      <c r="H17" s="10">
        <v>7</v>
      </c>
      <c r="I17" s="10">
        <v>8</v>
      </c>
      <c r="J17" s="10">
        <v>8</v>
      </c>
      <c r="K17" s="10">
        <v>7</v>
      </c>
      <c r="L17" s="10">
        <f t="shared" si="0"/>
        <v>7.25</v>
      </c>
      <c r="M17" s="10">
        <f t="shared" si="1"/>
        <v>7.5</v>
      </c>
      <c r="N17" s="10">
        <f t="shared" si="2"/>
        <v>8</v>
      </c>
      <c r="O17" s="10">
        <f t="shared" si="3"/>
        <v>7.5</v>
      </c>
      <c r="P17" s="10">
        <f t="shared" si="4"/>
        <v>8.3000000000000007</v>
      </c>
      <c r="Q17" s="10">
        <f t="shared" si="5"/>
        <v>7.3</v>
      </c>
      <c r="R17" s="10">
        <f t="shared" si="6"/>
        <v>1.2000000000000028</v>
      </c>
      <c r="S17" s="10">
        <f t="shared" si="7"/>
        <v>74.2</v>
      </c>
      <c r="T17" s="10">
        <f t="shared" si="8"/>
        <v>3</v>
      </c>
      <c r="U17" s="11">
        <v>8</v>
      </c>
      <c r="V17" s="10">
        <v>8</v>
      </c>
      <c r="W17" s="10">
        <v>8</v>
      </c>
      <c r="X17" s="10">
        <v>6</v>
      </c>
      <c r="Y17" s="10">
        <v>7</v>
      </c>
      <c r="Z17" s="10">
        <v>5</v>
      </c>
      <c r="AA17" s="10">
        <v>7</v>
      </c>
      <c r="AB17" s="10">
        <v>8</v>
      </c>
      <c r="AC17" s="10">
        <v>7</v>
      </c>
      <c r="AD17" s="10">
        <v>7</v>
      </c>
      <c r="AE17" s="10">
        <f t="shared" si="9"/>
        <v>6.5</v>
      </c>
      <c r="AF17" s="10">
        <f t="shared" si="10"/>
        <v>7.5</v>
      </c>
      <c r="AG17" s="10">
        <f t="shared" si="11"/>
        <v>7.5</v>
      </c>
      <c r="AH17" s="10">
        <f t="shared" si="12"/>
        <v>6.5</v>
      </c>
      <c r="AI17" s="10">
        <f t="shared" si="13"/>
        <v>7.7</v>
      </c>
      <c r="AJ17" s="10">
        <f t="shared" si="14"/>
        <v>6.8</v>
      </c>
      <c r="AK17" s="10">
        <f t="shared" si="15"/>
        <v>0.29999999999999716</v>
      </c>
      <c r="AL17" s="10">
        <f t="shared" si="16"/>
        <v>68.3</v>
      </c>
      <c r="AM17" s="10">
        <f t="shared" si="17"/>
        <v>7</v>
      </c>
      <c r="AN17" s="10" t="s">
        <v>175</v>
      </c>
      <c r="AO17" s="10">
        <f t="shared" si="18"/>
        <v>6.875</v>
      </c>
      <c r="AP17" s="10">
        <f t="shared" si="19"/>
        <v>7.5</v>
      </c>
      <c r="AQ17" s="10">
        <f t="shared" si="20"/>
        <v>7.75</v>
      </c>
      <c r="AR17" s="10">
        <f t="shared" si="21"/>
        <v>7</v>
      </c>
      <c r="AS17" s="10">
        <f t="shared" si="22"/>
        <v>71.3</v>
      </c>
      <c r="AT17" s="10">
        <f t="shared" si="23"/>
        <v>5</v>
      </c>
      <c r="AU17" s="10">
        <v>121</v>
      </c>
      <c r="AV17" s="10">
        <v>8100</v>
      </c>
      <c r="AW17" s="10">
        <v>307</v>
      </c>
      <c r="AX17" s="10">
        <v>296</v>
      </c>
      <c r="AY17" s="17">
        <v>46061</v>
      </c>
      <c r="AZ17" s="10" t="s">
        <v>203</v>
      </c>
      <c r="BA17" s="10" t="s">
        <v>25</v>
      </c>
      <c r="BB17" s="17">
        <v>46121</v>
      </c>
      <c r="BC17" s="10">
        <f t="shared" si="24"/>
        <v>60</v>
      </c>
      <c r="BD17" s="10">
        <f t="shared" si="25"/>
        <v>135</v>
      </c>
      <c r="BE17" s="10">
        <f t="shared" si="26"/>
        <v>3.8</v>
      </c>
      <c r="BF17" s="10">
        <f t="shared" si="27"/>
        <v>3.7</v>
      </c>
      <c r="BG17" s="10">
        <f t="shared" si="28"/>
        <v>0.4</v>
      </c>
      <c r="BH17" s="10">
        <v>76</v>
      </c>
      <c r="BI17" s="10" t="s">
        <v>223</v>
      </c>
      <c r="BJ17" s="10">
        <f t="shared" si="29"/>
        <v>54</v>
      </c>
      <c r="BK17" s="10" t="s">
        <v>135</v>
      </c>
      <c r="BL17" s="3" t="s">
        <v>334</v>
      </c>
      <c r="BM17" s="3" t="s">
        <v>239</v>
      </c>
      <c r="BN17" s="3" t="s">
        <v>245</v>
      </c>
      <c r="BO17" s="3" t="s">
        <v>246</v>
      </c>
      <c r="BP17" s="10" t="s">
        <v>226</v>
      </c>
      <c r="BQ17" s="3" t="s">
        <v>279</v>
      </c>
      <c r="BR17" s="4" t="s">
        <v>79</v>
      </c>
      <c r="BS17" s="19" t="s">
        <v>78</v>
      </c>
    </row>
    <row r="18" spans="1:71" ht="27" customHeight="1" x14ac:dyDescent="0.3">
      <c r="A18" s="4" t="s">
        <v>3</v>
      </c>
      <c r="B18" s="10">
        <v>10</v>
      </c>
      <c r="C18" s="10">
        <v>8</v>
      </c>
      <c r="D18" s="10">
        <v>7</v>
      </c>
      <c r="E18" s="10">
        <v>7.5</v>
      </c>
      <c r="F18" s="10">
        <v>7</v>
      </c>
      <c r="G18" s="10">
        <v>6</v>
      </c>
      <c r="H18" s="10">
        <v>8</v>
      </c>
      <c r="I18" s="10">
        <v>8</v>
      </c>
      <c r="J18" s="10">
        <v>8</v>
      </c>
      <c r="K18" s="10">
        <v>8</v>
      </c>
      <c r="L18" s="10">
        <f t="shared" si="0"/>
        <v>7.125</v>
      </c>
      <c r="M18" s="10">
        <f t="shared" si="1"/>
        <v>9</v>
      </c>
      <c r="N18" s="10">
        <f t="shared" si="2"/>
        <v>7.75</v>
      </c>
      <c r="O18" s="10">
        <f t="shared" si="3"/>
        <v>6.5</v>
      </c>
      <c r="P18" s="10">
        <f t="shared" si="4"/>
        <v>7.3</v>
      </c>
      <c r="Q18" s="10">
        <f t="shared" si="5"/>
        <v>7.9</v>
      </c>
      <c r="R18" s="10">
        <f t="shared" si="6"/>
        <v>-0.70000000000000284</v>
      </c>
      <c r="S18" s="10">
        <f t="shared" si="7"/>
        <v>72.3</v>
      </c>
      <c r="T18" s="10">
        <f t="shared" si="8"/>
        <v>15</v>
      </c>
      <c r="U18" s="11">
        <v>10</v>
      </c>
      <c r="V18" s="10">
        <v>8</v>
      </c>
      <c r="W18" s="10">
        <v>7</v>
      </c>
      <c r="X18" s="10">
        <v>6</v>
      </c>
      <c r="Y18" s="10">
        <v>7</v>
      </c>
      <c r="Z18" s="10">
        <v>5</v>
      </c>
      <c r="AA18" s="10">
        <v>8</v>
      </c>
      <c r="AB18" s="10">
        <v>8</v>
      </c>
      <c r="AC18" s="10">
        <v>8</v>
      </c>
      <c r="AD18" s="10">
        <v>8</v>
      </c>
      <c r="AE18" s="10">
        <f t="shared" si="9"/>
        <v>6.5</v>
      </c>
      <c r="AF18" s="10">
        <f t="shared" si="10"/>
        <v>9</v>
      </c>
      <c r="AG18" s="10">
        <f t="shared" si="11"/>
        <v>7.75</v>
      </c>
      <c r="AH18" s="10">
        <f t="shared" si="12"/>
        <v>6</v>
      </c>
      <c r="AI18" s="10">
        <f t="shared" si="13"/>
        <v>7.3</v>
      </c>
      <c r="AJ18" s="10">
        <f t="shared" si="14"/>
        <v>7.5</v>
      </c>
      <c r="AK18" s="10">
        <f t="shared" si="15"/>
        <v>-4.2000000000000028</v>
      </c>
      <c r="AL18" s="10">
        <f t="shared" si="16"/>
        <v>68.8</v>
      </c>
      <c r="AM18" s="10">
        <f t="shared" si="17"/>
        <v>18</v>
      </c>
      <c r="AN18" s="10" t="s">
        <v>175</v>
      </c>
      <c r="AO18" s="10">
        <f t="shared" si="18"/>
        <v>6.8125</v>
      </c>
      <c r="AP18" s="10">
        <f t="shared" si="19"/>
        <v>9</v>
      </c>
      <c r="AQ18" s="10">
        <f t="shared" si="20"/>
        <v>7.75</v>
      </c>
      <c r="AR18" s="10">
        <f t="shared" si="21"/>
        <v>6.25</v>
      </c>
      <c r="AS18" s="10">
        <f t="shared" si="22"/>
        <v>70.5</v>
      </c>
      <c r="AT18" s="10">
        <f t="shared" si="23"/>
        <v>16</v>
      </c>
      <c r="AU18" s="10">
        <v>80</v>
      </c>
      <c r="AV18" s="10">
        <v>6770</v>
      </c>
      <c r="AW18" s="10">
        <v>158</v>
      </c>
      <c r="AX18" s="10">
        <v>54</v>
      </c>
      <c r="AY18" s="17">
        <v>43981</v>
      </c>
      <c r="AZ18" s="10" t="s">
        <v>203</v>
      </c>
      <c r="BA18" s="10" t="s">
        <v>27</v>
      </c>
      <c r="BB18" s="17">
        <v>46121</v>
      </c>
      <c r="BC18" s="10">
        <f t="shared" si="24"/>
        <v>2140</v>
      </c>
      <c r="BD18" s="10">
        <f t="shared" si="25"/>
        <v>3.2</v>
      </c>
      <c r="BE18" s="10">
        <f t="shared" si="26"/>
        <v>2.2999999999999998</v>
      </c>
      <c r="BF18" s="10">
        <f t="shared" si="27"/>
        <v>0.8</v>
      </c>
      <c r="BG18" s="10">
        <f t="shared" si="28"/>
        <v>0.99</v>
      </c>
      <c r="BH18" s="10">
        <v>66</v>
      </c>
      <c r="BI18" s="10" t="s">
        <v>223</v>
      </c>
      <c r="BJ18" s="10">
        <f t="shared" si="29"/>
        <v>3.1680000000000001</v>
      </c>
      <c r="BK18" s="10" t="s">
        <v>135</v>
      </c>
      <c r="BL18" s="3" t="s">
        <v>299</v>
      </c>
      <c r="BM18" s="3" t="s">
        <v>300</v>
      </c>
      <c r="BN18" s="3" t="s">
        <v>318</v>
      </c>
      <c r="BO18" s="3" t="s">
        <v>319</v>
      </c>
      <c r="BP18" s="10" t="s">
        <v>229</v>
      </c>
      <c r="BQ18" s="3" t="s">
        <v>325</v>
      </c>
      <c r="BR18" s="4" t="s">
        <v>110</v>
      </c>
      <c r="BS18" s="19" t="s">
        <v>109</v>
      </c>
    </row>
    <row r="19" spans="1:71" ht="45.6" customHeight="1" x14ac:dyDescent="0.3">
      <c r="A19" s="4" t="s">
        <v>12</v>
      </c>
      <c r="B19" s="10">
        <v>10</v>
      </c>
      <c r="C19" s="10">
        <v>8</v>
      </c>
      <c r="D19" s="10">
        <v>8</v>
      </c>
      <c r="E19" s="10">
        <v>8</v>
      </c>
      <c r="F19" s="10">
        <v>7</v>
      </c>
      <c r="G19" s="10">
        <v>7</v>
      </c>
      <c r="H19" s="10">
        <v>5</v>
      </c>
      <c r="I19" s="10">
        <v>7</v>
      </c>
      <c r="J19" s="10">
        <v>6</v>
      </c>
      <c r="K19" s="10">
        <v>5</v>
      </c>
      <c r="L19" s="10">
        <f t="shared" si="0"/>
        <v>7.5</v>
      </c>
      <c r="M19" s="10">
        <f t="shared" si="1"/>
        <v>7.5</v>
      </c>
      <c r="N19" s="10">
        <f t="shared" si="2"/>
        <v>6.5</v>
      </c>
      <c r="O19" s="10">
        <f t="shared" si="3"/>
        <v>7.5</v>
      </c>
      <c r="P19" s="10">
        <f t="shared" si="4"/>
        <v>7.7</v>
      </c>
      <c r="Q19" s="10">
        <f t="shared" si="5"/>
        <v>6</v>
      </c>
      <c r="R19" s="10">
        <f t="shared" si="6"/>
        <v>8.2999999999999972</v>
      </c>
      <c r="S19" s="10">
        <f t="shared" si="7"/>
        <v>68.3</v>
      </c>
      <c r="T19" s="10">
        <f t="shared" si="8"/>
        <v>7</v>
      </c>
      <c r="U19" s="11">
        <v>9</v>
      </c>
      <c r="V19" s="10">
        <v>8</v>
      </c>
      <c r="W19" s="10">
        <v>8</v>
      </c>
      <c r="X19" s="10">
        <v>7</v>
      </c>
      <c r="Y19" s="10">
        <v>7</v>
      </c>
      <c r="Z19" s="10">
        <v>8</v>
      </c>
      <c r="AA19" s="10">
        <v>5</v>
      </c>
      <c r="AB19" s="10">
        <v>7</v>
      </c>
      <c r="AC19" s="10">
        <v>7</v>
      </c>
      <c r="AD19" s="10">
        <v>5</v>
      </c>
      <c r="AE19" s="10">
        <f t="shared" si="9"/>
        <v>7.5</v>
      </c>
      <c r="AF19" s="10">
        <f t="shared" si="10"/>
        <v>7</v>
      </c>
      <c r="AG19" s="10">
        <f t="shared" si="11"/>
        <v>6.75</v>
      </c>
      <c r="AH19" s="10">
        <f t="shared" si="12"/>
        <v>8</v>
      </c>
      <c r="AI19" s="10">
        <f t="shared" si="13"/>
        <v>7.7</v>
      </c>
      <c r="AJ19" s="10">
        <f t="shared" si="14"/>
        <v>6</v>
      </c>
      <c r="AK19" s="10">
        <f t="shared" si="15"/>
        <v>9.2000000000000028</v>
      </c>
      <c r="AL19" s="10">
        <f t="shared" si="16"/>
        <v>69.2</v>
      </c>
      <c r="AM19" s="10">
        <f t="shared" si="17"/>
        <v>3</v>
      </c>
      <c r="AN19" s="10" t="s">
        <v>175</v>
      </c>
      <c r="AO19" s="10">
        <f t="shared" si="18"/>
        <v>7.5</v>
      </c>
      <c r="AP19" s="10">
        <f t="shared" si="19"/>
        <v>7.25</v>
      </c>
      <c r="AQ19" s="10">
        <f t="shared" si="20"/>
        <v>6.625</v>
      </c>
      <c r="AR19" s="10">
        <f t="shared" si="21"/>
        <v>7.75</v>
      </c>
      <c r="AS19" s="10">
        <f t="shared" si="22"/>
        <v>68.8</v>
      </c>
      <c r="AT19" s="10">
        <f t="shared" si="23"/>
        <v>5</v>
      </c>
      <c r="AU19" s="10">
        <v>92</v>
      </c>
      <c r="AV19" s="10">
        <v>22121</v>
      </c>
      <c r="AW19" s="10">
        <v>497</v>
      </c>
      <c r="AX19" s="10">
        <v>43</v>
      </c>
      <c r="AY19" s="17">
        <v>42572</v>
      </c>
      <c r="AZ19" s="10" t="s">
        <v>201</v>
      </c>
      <c r="BA19" s="10" t="s">
        <v>26</v>
      </c>
      <c r="BB19" s="17">
        <v>46121</v>
      </c>
      <c r="BC19" s="10">
        <f t="shared" si="24"/>
        <v>3549</v>
      </c>
      <c r="BD19" s="10">
        <f t="shared" si="25"/>
        <v>6.2</v>
      </c>
      <c r="BE19" s="10">
        <f t="shared" si="26"/>
        <v>2.2000000000000002</v>
      </c>
      <c r="BF19" s="10">
        <f t="shared" si="27"/>
        <v>0.2</v>
      </c>
      <c r="BG19" s="10">
        <f t="shared" si="28"/>
        <v>1</v>
      </c>
      <c r="BH19" s="10">
        <v>67</v>
      </c>
      <c r="BI19" s="10" t="s">
        <v>223</v>
      </c>
      <c r="BJ19" s="10">
        <f t="shared" si="29"/>
        <v>6.2</v>
      </c>
      <c r="BK19" s="10" t="s">
        <v>135</v>
      </c>
      <c r="BL19" s="3" t="s">
        <v>295</v>
      </c>
      <c r="BM19" s="3" t="s">
        <v>296</v>
      </c>
      <c r="BN19" s="3" t="s">
        <v>315</v>
      </c>
      <c r="BO19" s="3" t="s">
        <v>316</v>
      </c>
      <c r="BP19" s="10" t="s">
        <v>237</v>
      </c>
      <c r="BQ19" s="3" t="s">
        <v>322</v>
      </c>
      <c r="BR19" s="4" t="s">
        <v>68</v>
      </c>
      <c r="BS19" s="19" t="s">
        <v>102</v>
      </c>
    </row>
    <row r="20" spans="1:71" ht="26.4" customHeight="1" x14ac:dyDescent="0.3">
      <c r="A20" s="4" t="s">
        <v>126</v>
      </c>
      <c r="B20" s="10">
        <v>10</v>
      </c>
      <c r="C20" s="10">
        <v>7</v>
      </c>
      <c r="D20" s="10">
        <v>8</v>
      </c>
      <c r="E20" s="10">
        <v>7.5</v>
      </c>
      <c r="F20" s="10">
        <v>8</v>
      </c>
      <c r="G20" s="10">
        <v>6</v>
      </c>
      <c r="H20" s="10">
        <v>5</v>
      </c>
      <c r="I20" s="10">
        <v>8</v>
      </c>
      <c r="J20" s="10">
        <v>5</v>
      </c>
      <c r="K20" s="10">
        <v>5</v>
      </c>
      <c r="L20" s="10">
        <f t="shared" si="0"/>
        <v>7.125</v>
      </c>
      <c r="M20" s="10">
        <f t="shared" si="1"/>
        <v>7.5</v>
      </c>
      <c r="N20" s="10">
        <f t="shared" si="2"/>
        <v>6.5</v>
      </c>
      <c r="O20" s="10">
        <f t="shared" si="3"/>
        <v>7</v>
      </c>
      <c r="P20" s="10">
        <f t="shared" si="4"/>
        <v>7.7</v>
      </c>
      <c r="Q20" s="10">
        <f t="shared" si="5"/>
        <v>5.6</v>
      </c>
      <c r="R20" s="10">
        <f t="shared" si="6"/>
        <v>11.700000000000003</v>
      </c>
      <c r="S20" s="10">
        <f t="shared" si="7"/>
        <v>67.7</v>
      </c>
      <c r="T20" s="10">
        <f t="shared" si="8"/>
        <v>5</v>
      </c>
      <c r="U20" s="11">
        <v>9</v>
      </c>
      <c r="V20" s="10">
        <v>7</v>
      </c>
      <c r="W20" s="10">
        <v>9</v>
      </c>
      <c r="X20" s="10">
        <v>7</v>
      </c>
      <c r="Y20" s="10">
        <v>8</v>
      </c>
      <c r="Z20" s="10">
        <v>5</v>
      </c>
      <c r="AA20" s="10">
        <v>5</v>
      </c>
      <c r="AB20" s="10">
        <v>8</v>
      </c>
      <c r="AC20" s="10">
        <v>5</v>
      </c>
      <c r="AD20" s="10">
        <v>5</v>
      </c>
      <c r="AE20" s="10">
        <f t="shared" si="9"/>
        <v>6.75</v>
      </c>
      <c r="AF20" s="10">
        <f t="shared" si="10"/>
        <v>7</v>
      </c>
      <c r="AG20" s="10">
        <f t="shared" si="11"/>
        <v>6.75</v>
      </c>
      <c r="AH20" s="10">
        <f t="shared" si="12"/>
        <v>7</v>
      </c>
      <c r="AI20" s="10">
        <f t="shared" si="13"/>
        <v>8</v>
      </c>
      <c r="AJ20" s="10">
        <f t="shared" si="14"/>
        <v>5.5</v>
      </c>
      <c r="AK20" s="10">
        <f t="shared" si="15"/>
        <v>12.900000000000006</v>
      </c>
      <c r="AL20" s="10">
        <f t="shared" si="16"/>
        <v>67.900000000000006</v>
      </c>
      <c r="AM20" s="10">
        <f t="shared" si="17"/>
        <v>1</v>
      </c>
      <c r="AN20" s="10" t="s">
        <v>175</v>
      </c>
      <c r="AO20" s="10">
        <f t="shared" si="18"/>
        <v>6.9375</v>
      </c>
      <c r="AP20" s="10">
        <f t="shared" si="19"/>
        <v>7.25</v>
      </c>
      <c r="AQ20" s="10">
        <f t="shared" si="20"/>
        <v>6.625</v>
      </c>
      <c r="AR20" s="10">
        <f t="shared" si="21"/>
        <v>7</v>
      </c>
      <c r="AS20" s="10">
        <f t="shared" si="22"/>
        <v>67.8</v>
      </c>
      <c r="AT20" s="10">
        <f t="shared" si="23"/>
        <v>3</v>
      </c>
      <c r="AU20" s="10">
        <v>163</v>
      </c>
      <c r="AV20" s="10">
        <v>30738</v>
      </c>
      <c r="AW20" s="10">
        <v>745</v>
      </c>
      <c r="AX20" s="10">
        <v>793</v>
      </c>
      <c r="AY20" s="17">
        <v>45622</v>
      </c>
      <c r="AZ20" s="10" t="s">
        <v>203</v>
      </c>
      <c r="BA20" s="10" t="s">
        <v>25</v>
      </c>
      <c r="BB20" s="17">
        <v>46121</v>
      </c>
      <c r="BC20" s="10">
        <f t="shared" si="24"/>
        <v>499</v>
      </c>
      <c r="BD20" s="10">
        <f t="shared" si="25"/>
        <v>61.6</v>
      </c>
      <c r="BE20" s="10">
        <f t="shared" si="26"/>
        <v>2.4</v>
      </c>
      <c r="BF20" s="10">
        <f t="shared" si="27"/>
        <v>2.6</v>
      </c>
      <c r="BG20" s="10">
        <f t="shared" si="28"/>
        <v>0.88</v>
      </c>
      <c r="BH20" s="10">
        <v>74</v>
      </c>
      <c r="BI20" s="10" t="s">
        <v>223</v>
      </c>
      <c r="BJ20" s="10">
        <f t="shared" si="29"/>
        <v>54.207999999999998</v>
      </c>
      <c r="BK20" s="10" t="s">
        <v>135</v>
      </c>
      <c r="BL20" s="3" t="s">
        <v>330</v>
      </c>
      <c r="BM20" s="3" t="s">
        <v>338</v>
      </c>
      <c r="BN20" s="3" t="s">
        <v>346</v>
      </c>
      <c r="BO20" s="3" t="s">
        <v>351</v>
      </c>
      <c r="BP20" s="10" t="s">
        <v>226</v>
      </c>
      <c r="BQ20" s="3" t="s">
        <v>324</v>
      </c>
      <c r="BR20" s="4" t="s">
        <v>64</v>
      </c>
      <c r="BS20" s="19" t="s">
        <v>105</v>
      </c>
    </row>
    <row r="21" spans="1:71" ht="42" customHeight="1" x14ac:dyDescent="0.3">
      <c r="A21" s="4" t="s">
        <v>20</v>
      </c>
      <c r="B21" s="10">
        <v>9</v>
      </c>
      <c r="C21" s="10">
        <v>7</v>
      </c>
      <c r="D21" s="10">
        <v>7</v>
      </c>
      <c r="E21" s="10">
        <v>7</v>
      </c>
      <c r="F21" s="10">
        <v>6</v>
      </c>
      <c r="G21" s="10">
        <v>8</v>
      </c>
      <c r="H21" s="10">
        <v>5</v>
      </c>
      <c r="I21" s="10">
        <v>7</v>
      </c>
      <c r="J21" s="10">
        <v>6</v>
      </c>
      <c r="K21" s="10">
        <v>5</v>
      </c>
      <c r="L21" s="10">
        <f t="shared" si="0"/>
        <v>7</v>
      </c>
      <c r="M21" s="10">
        <f t="shared" si="1"/>
        <v>7</v>
      </c>
      <c r="N21" s="10">
        <f t="shared" si="2"/>
        <v>6.25</v>
      </c>
      <c r="O21" s="10">
        <f t="shared" si="3"/>
        <v>7.5</v>
      </c>
      <c r="P21" s="10">
        <f t="shared" si="4"/>
        <v>6.7</v>
      </c>
      <c r="Q21" s="10">
        <f t="shared" si="5"/>
        <v>5.8</v>
      </c>
      <c r="R21" s="10">
        <f t="shared" si="6"/>
        <v>7</v>
      </c>
      <c r="S21" s="10">
        <f t="shared" si="7"/>
        <v>65</v>
      </c>
      <c r="T21" s="10">
        <f t="shared" si="8"/>
        <v>5</v>
      </c>
      <c r="U21" s="11">
        <v>8</v>
      </c>
      <c r="V21" s="10">
        <v>8</v>
      </c>
      <c r="W21" s="10">
        <v>7</v>
      </c>
      <c r="X21" s="10">
        <v>8</v>
      </c>
      <c r="Y21" s="10">
        <v>7</v>
      </c>
      <c r="Z21" s="10">
        <v>8</v>
      </c>
      <c r="AA21" s="10">
        <v>6</v>
      </c>
      <c r="AB21" s="10">
        <v>7</v>
      </c>
      <c r="AC21" s="10">
        <v>6</v>
      </c>
      <c r="AD21" s="10">
        <v>5</v>
      </c>
      <c r="AE21" s="10">
        <f t="shared" si="9"/>
        <v>7.75</v>
      </c>
      <c r="AF21" s="10">
        <f t="shared" si="10"/>
        <v>7</v>
      </c>
      <c r="AG21" s="10">
        <f t="shared" si="11"/>
        <v>6.25</v>
      </c>
      <c r="AH21" s="10">
        <f t="shared" si="12"/>
        <v>7.5</v>
      </c>
      <c r="AI21" s="10">
        <f t="shared" si="13"/>
        <v>7.3</v>
      </c>
      <c r="AJ21" s="10">
        <f t="shared" si="14"/>
        <v>6.3</v>
      </c>
      <c r="AK21" s="10">
        <f t="shared" si="15"/>
        <v>3.2999999999999972</v>
      </c>
      <c r="AL21" s="10">
        <f t="shared" si="16"/>
        <v>66.3</v>
      </c>
      <c r="AM21" s="10">
        <f t="shared" si="17"/>
        <v>8</v>
      </c>
      <c r="AN21" s="10" t="s">
        <v>175</v>
      </c>
      <c r="AO21" s="10">
        <f t="shared" si="18"/>
        <v>7.375</v>
      </c>
      <c r="AP21" s="10">
        <f t="shared" si="19"/>
        <v>7</v>
      </c>
      <c r="AQ21" s="10">
        <f t="shared" si="20"/>
        <v>6.25</v>
      </c>
      <c r="AR21" s="10">
        <f t="shared" si="21"/>
        <v>7.5</v>
      </c>
      <c r="AS21" s="10">
        <f t="shared" si="22"/>
        <v>65.599999999999994</v>
      </c>
      <c r="AT21" s="10">
        <f t="shared" si="23"/>
        <v>6</v>
      </c>
      <c r="AU21" s="10">
        <v>152</v>
      </c>
      <c r="AV21" s="10">
        <v>37839</v>
      </c>
      <c r="AW21" s="10">
        <v>751</v>
      </c>
      <c r="AX21" s="10">
        <v>1630</v>
      </c>
      <c r="AY21" s="17">
        <v>45471</v>
      </c>
      <c r="AZ21" s="10" t="s">
        <v>201</v>
      </c>
      <c r="BA21" s="10" t="s">
        <v>26</v>
      </c>
      <c r="BB21" s="17">
        <v>46121</v>
      </c>
      <c r="BC21" s="10">
        <f t="shared" si="24"/>
        <v>650</v>
      </c>
      <c r="BD21" s="10">
        <f t="shared" si="25"/>
        <v>58.2</v>
      </c>
      <c r="BE21" s="10">
        <f t="shared" si="26"/>
        <v>2</v>
      </c>
      <c r="BF21" s="10">
        <f t="shared" si="27"/>
        <v>4.3</v>
      </c>
      <c r="BG21" s="10">
        <f t="shared" si="28"/>
        <v>0.88</v>
      </c>
      <c r="BH21" s="10">
        <v>55</v>
      </c>
      <c r="BI21" s="10" t="s">
        <v>223</v>
      </c>
      <c r="BJ21" s="10">
        <f t="shared" si="29"/>
        <v>51.216000000000001</v>
      </c>
      <c r="BK21" s="10" t="s">
        <v>135</v>
      </c>
      <c r="BL21" s="3" t="s">
        <v>257</v>
      </c>
      <c r="BM21" s="3" t="s">
        <v>258</v>
      </c>
      <c r="BN21" s="3" t="s">
        <v>259</v>
      </c>
      <c r="BO21" s="3" t="s">
        <v>260</v>
      </c>
      <c r="BP21" s="10" t="s">
        <v>237</v>
      </c>
      <c r="BQ21" s="3" t="s">
        <v>285</v>
      </c>
      <c r="BR21" s="4" t="s">
        <v>83</v>
      </c>
      <c r="BS21" s="19" t="s">
        <v>90</v>
      </c>
    </row>
    <row r="22" spans="1:71" ht="40.200000000000003" customHeight="1" x14ac:dyDescent="0.3">
      <c r="A22" s="4" t="s">
        <v>13</v>
      </c>
      <c r="B22" s="10">
        <v>5</v>
      </c>
      <c r="C22" s="10">
        <v>5</v>
      </c>
      <c r="D22" s="10">
        <v>6</v>
      </c>
      <c r="E22" s="10">
        <v>7</v>
      </c>
      <c r="F22" s="10">
        <v>7</v>
      </c>
      <c r="G22" s="10">
        <v>7</v>
      </c>
      <c r="H22" s="10">
        <v>8</v>
      </c>
      <c r="I22" s="10">
        <v>9</v>
      </c>
      <c r="J22" s="10">
        <v>7</v>
      </c>
      <c r="K22" s="10">
        <v>8</v>
      </c>
      <c r="L22" s="10">
        <f t="shared" si="0"/>
        <v>6.5</v>
      </c>
      <c r="M22" s="10">
        <f t="shared" si="1"/>
        <v>6.5</v>
      </c>
      <c r="N22" s="10">
        <f t="shared" si="2"/>
        <v>7.5</v>
      </c>
      <c r="O22" s="10">
        <f t="shared" si="3"/>
        <v>6.5</v>
      </c>
      <c r="P22" s="10">
        <f t="shared" si="4"/>
        <v>6</v>
      </c>
      <c r="Q22" s="10">
        <f t="shared" si="5"/>
        <v>7.5</v>
      </c>
      <c r="R22" s="10">
        <f t="shared" si="6"/>
        <v>16.700000000000003</v>
      </c>
      <c r="S22" s="10">
        <f t="shared" si="7"/>
        <v>66.7</v>
      </c>
      <c r="T22" s="10">
        <f t="shared" si="8"/>
        <v>3</v>
      </c>
      <c r="U22" s="11">
        <v>8</v>
      </c>
      <c r="V22" s="10">
        <v>5</v>
      </c>
      <c r="W22" s="10">
        <v>6</v>
      </c>
      <c r="X22" s="10">
        <v>7</v>
      </c>
      <c r="Y22" s="10">
        <v>7</v>
      </c>
      <c r="Z22" s="10">
        <v>5</v>
      </c>
      <c r="AA22" s="10">
        <v>8</v>
      </c>
      <c r="AB22" s="10">
        <v>9</v>
      </c>
      <c r="AC22" s="10">
        <v>7</v>
      </c>
      <c r="AD22" s="10">
        <v>10</v>
      </c>
      <c r="AE22" s="10">
        <f t="shared" si="9"/>
        <v>6</v>
      </c>
      <c r="AF22" s="10">
        <f t="shared" si="10"/>
        <v>8</v>
      </c>
      <c r="AG22" s="10">
        <f t="shared" si="11"/>
        <v>8</v>
      </c>
      <c r="AH22" s="10">
        <f t="shared" si="12"/>
        <v>5.5</v>
      </c>
      <c r="AI22" s="10">
        <f t="shared" si="13"/>
        <v>6</v>
      </c>
      <c r="AJ22" s="10">
        <f t="shared" si="14"/>
        <v>8</v>
      </c>
      <c r="AK22" s="10">
        <f t="shared" si="15"/>
        <v>4.2000000000000028</v>
      </c>
      <c r="AL22" s="10">
        <f t="shared" si="16"/>
        <v>64.2</v>
      </c>
      <c r="AM22" s="10">
        <f t="shared" si="17"/>
        <v>18</v>
      </c>
      <c r="AN22" s="10" t="s">
        <v>175</v>
      </c>
      <c r="AO22" s="10">
        <f t="shared" si="18"/>
        <v>6.25</v>
      </c>
      <c r="AP22" s="10">
        <f t="shared" si="19"/>
        <v>7.25</v>
      </c>
      <c r="AQ22" s="10">
        <f t="shared" si="20"/>
        <v>7.75</v>
      </c>
      <c r="AR22" s="10">
        <f t="shared" si="21"/>
        <v>6</v>
      </c>
      <c r="AS22" s="10">
        <f t="shared" si="22"/>
        <v>65.400000000000006</v>
      </c>
      <c r="AT22" s="10">
        <f t="shared" si="23"/>
        <v>11</v>
      </c>
      <c r="AU22" s="10">
        <v>137</v>
      </c>
      <c r="AV22" s="10">
        <v>19992</v>
      </c>
      <c r="AW22" s="10">
        <v>437</v>
      </c>
      <c r="AX22" s="10">
        <v>374</v>
      </c>
      <c r="AY22" s="17">
        <v>45260</v>
      </c>
      <c r="AZ22" s="10" t="s">
        <v>203</v>
      </c>
      <c r="BA22" s="10" t="s">
        <v>25</v>
      </c>
      <c r="BB22" s="17">
        <v>46121</v>
      </c>
      <c r="BC22" s="10">
        <f t="shared" si="24"/>
        <v>861</v>
      </c>
      <c r="BD22" s="10">
        <f t="shared" si="25"/>
        <v>23.2</v>
      </c>
      <c r="BE22" s="10">
        <f t="shared" si="26"/>
        <v>2.2000000000000002</v>
      </c>
      <c r="BF22" s="10">
        <f t="shared" si="27"/>
        <v>1.9</v>
      </c>
      <c r="BG22" s="10">
        <f t="shared" si="28"/>
        <v>0.94</v>
      </c>
      <c r="BH22" s="10">
        <v>71</v>
      </c>
      <c r="BI22" s="10" t="s">
        <v>223</v>
      </c>
      <c r="BJ22" s="10">
        <f t="shared" si="29"/>
        <v>21.808</v>
      </c>
      <c r="BK22" s="10" t="s">
        <v>135</v>
      </c>
      <c r="BL22" s="3" t="s">
        <v>331</v>
      </c>
      <c r="BM22" s="3" t="s">
        <v>337</v>
      </c>
      <c r="BN22" s="3" t="s">
        <v>347</v>
      </c>
      <c r="BO22" s="3" t="s">
        <v>350</v>
      </c>
      <c r="BP22" s="10" t="s">
        <v>226</v>
      </c>
      <c r="BQ22" s="3" t="s">
        <v>326</v>
      </c>
      <c r="BR22" s="4" t="s">
        <v>112</v>
      </c>
      <c r="BS22" s="19" t="s">
        <v>111</v>
      </c>
    </row>
    <row r="23" spans="1:71" ht="43.8" customHeight="1" x14ac:dyDescent="0.3">
      <c r="A23" s="4" t="s">
        <v>5</v>
      </c>
      <c r="B23" s="10">
        <v>9</v>
      </c>
      <c r="C23" s="10">
        <v>6</v>
      </c>
      <c r="D23" s="10">
        <v>7</v>
      </c>
      <c r="E23" s="10">
        <v>7</v>
      </c>
      <c r="F23" s="10">
        <v>7</v>
      </c>
      <c r="G23" s="10">
        <v>6</v>
      </c>
      <c r="H23" s="10">
        <v>8</v>
      </c>
      <c r="I23" s="10">
        <v>6</v>
      </c>
      <c r="J23" s="10">
        <v>6</v>
      </c>
      <c r="K23" s="10">
        <v>8</v>
      </c>
      <c r="L23" s="10">
        <f t="shared" si="0"/>
        <v>6.5</v>
      </c>
      <c r="M23" s="10">
        <f t="shared" si="1"/>
        <v>8.5</v>
      </c>
      <c r="N23" s="10">
        <f t="shared" si="2"/>
        <v>6.75</v>
      </c>
      <c r="O23" s="10">
        <f t="shared" si="3"/>
        <v>6.5</v>
      </c>
      <c r="P23" s="10">
        <f t="shared" si="4"/>
        <v>6.7</v>
      </c>
      <c r="Q23" s="10">
        <f t="shared" si="5"/>
        <v>7.3</v>
      </c>
      <c r="R23" s="10">
        <f t="shared" si="6"/>
        <v>1.7999999999999972</v>
      </c>
      <c r="S23" s="10">
        <f t="shared" si="7"/>
        <v>68.8</v>
      </c>
      <c r="T23" s="10">
        <f t="shared" si="8"/>
        <v>8</v>
      </c>
      <c r="U23" s="11">
        <v>8</v>
      </c>
      <c r="V23" s="10">
        <v>5</v>
      </c>
      <c r="W23" s="10">
        <v>5</v>
      </c>
      <c r="X23" s="10">
        <v>6</v>
      </c>
      <c r="Y23" s="10">
        <v>7</v>
      </c>
      <c r="Z23" s="10">
        <v>5</v>
      </c>
      <c r="AA23" s="10">
        <v>10</v>
      </c>
      <c r="AB23" s="10">
        <v>6</v>
      </c>
      <c r="AC23" s="10">
        <v>6</v>
      </c>
      <c r="AD23" s="10">
        <v>8</v>
      </c>
      <c r="AE23" s="10">
        <f t="shared" si="9"/>
        <v>5.75</v>
      </c>
      <c r="AF23" s="10">
        <f t="shared" si="10"/>
        <v>9</v>
      </c>
      <c r="AG23" s="10">
        <f t="shared" si="11"/>
        <v>6.25</v>
      </c>
      <c r="AH23" s="10">
        <f t="shared" si="12"/>
        <v>5</v>
      </c>
      <c r="AI23" s="10">
        <f t="shared" si="13"/>
        <v>5.7</v>
      </c>
      <c r="AJ23" s="10">
        <f t="shared" si="14"/>
        <v>7.5</v>
      </c>
      <c r="AK23" s="10">
        <f t="shared" si="15"/>
        <v>3</v>
      </c>
      <c r="AL23" s="10">
        <f t="shared" si="16"/>
        <v>60</v>
      </c>
      <c r="AM23" s="10">
        <f t="shared" si="17"/>
        <v>20</v>
      </c>
      <c r="AN23" s="10" t="s">
        <v>175</v>
      </c>
      <c r="AO23" s="10">
        <f t="shared" si="18"/>
        <v>6.125</v>
      </c>
      <c r="AP23" s="10">
        <f t="shared" si="19"/>
        <v>8.75</v>
      </c>
      <c r="AQ23" s="10">
        <f t="shared" si="20"/>
        <v>6.5</v>
      </c>
      <c r="AR23" s="10">
        <f t="shared" si="21"/>
        <v>5.75</v>
      </c>
      <c r="AS23" s="10">
        <f t="shared" si="22"/>
        <v>64.400000000000006</v>
      </c>
      <c r="AT23" s="10">
        <f t="shared" si="23"/>
        <v>14</v>
      </c>
      <c r="AU23" s="10">
        <v>83</v>
      </c>
      <c r="AV23" s="10">
        <v>59888</v>
      </c>
      <c r="AW23" s="10">
        <v>1473</v>
      </c>
      <c r="AX23" s="10">
        <v>392</v>
      </c>
      <c r="AY23" s="17">
        <v>43721</v>
      </c>
      <c r="AZ23" s="10" t="s">
        <v>201</v>
      </c>
      <c r="BA23" s="10" t="s">
        <v>26</v>
      </c>
      <c r="BB23" s="17">
        <v>46121</v>
      </c>
      <c r="BC23" s="10">
        <f t="shared" si="24"/>
        <v>2400</v>
      </c>
      <c r="BD23" s="10">
        <f t="shared" si="25"/>
        <v>25</v>
      </c>
      <c r="BE23" s="10">
        <f t="shared" si="26"/>
        <v>2.5</v>
      </c>
      <c r="BF23" s="10">
        <f t="shared" si="27"/>
        <v>0.7</v>
      </c>
      <c r="BG23" s="10">
        <f t="shared" si="28"/>
        <v>1</v>
      </c>
      <c r="BH23" s="10">
        <v>78</v>
      </c>
      <c r="BI23" s="10" t="s">
        <v>223</v>
      </c>
      <c r="BJ23" s="10">
        <f t="shared" si="29"/>
        <v>25</v>
      </c>
      <c r="BK23" s="10" t="s">
        <v>135</v>
      </c>
      <c r="BL23" s="3" t="s">
        <v>292</v>
      </c>
      <c r="BM23" s="3" t="s">
        <v>293</v>
      </c>
      <c r="BN23" s="3" t="s">
        <v>385</v>
      </c>
      <c r="BO23" s="3" t="s">
        <v>314</v>
      </c>
      <c r="BP23" s="10" t="s">
        <v>237</v>
      </c>
      <c r="BQ23" s="3" t="s">
        <v>321</v>
      </c>
      <c r="BR23" s="4" t="s">
        <v>99</v>
      </c>
      <c r="BS23" s="19" t="s">
        <v>98</v>
      </c>
    </row>
    <row r="24" spans="1:71" ht="33.6" customHeight="1" x14ac:dyDescent="0.3">
      <c r="A24" s="4" t="s">
        <v>23</v>
      </c>
      <c r="B24" s="10">
        <v>8</v>
      </c>
      <c r="C24" s="10">
        <v>9</v>
      </c>
      <c r="D24" s="10">
        <v>6</v>
      </c>
      <c r="E24" s="10">
        <v>6.5</v>
      </c>
      <c r="F24" s="10">
        <v>9</v>
      </c>
      <c r="G24" s="10">
        <v>7</v>
      </c>
      <c r="H24" s="10">
        <v>8</v>
      </c>
      <c r="I24" s="10">
        <v>6</v>
      </c>
      <c r="J24" s="10">
        <v>6</v>
      </c>
      <c r="K24" s="10">
        <v>8</v>
      </c>
      <c r="L24" s="10">
        <f t="shared" si="0"/>
        <v>7.875</v>
      </c>
      <c r="M24" s="10">
        <f t="shared" si="1"/>
        <v>8</v>
      </c>
      <c r="N24" s="10">
        <f t="shared" si="2"/>
        <v>6.5</v>
      </c>
      <c r="O24" s="10">
        <f t="shared" si="3"/>
        <v>6.5</v>
      </c>
      <c r="P24" s="10">
        <f t="shared" si="4"/>
        <v>8</v>
      </c>
      <c r="Q24" s="10">
        <f t="shared" si="5"/>
        <v>7.1</v>
      </c>
      <c r="R24" s="10">
        <f t="shared" si="6"/>
        <v>-1.2000000000000028</v>
      </c>
      <c r="S24" s="10">
        <f t="shared" si="7"/>
        <v>69.8</v>
      </c>
      <c r="T24" s="10">
        <f t="shared" si="8"/>
        <v>10</v>
      </c>
      <c r="U24" s="11">
        <v>9</v>
      </c>
      <c r="V24" s="10">
        <v>9</v>
      </c>
      <c r="W24" s="10">
        <v>6</v>
      </c>
      <c r="X24" s="10">
        <v>7</v>
      </c>
      <c r="Y24" s="10">
        <v>8</v>
      </c>
      <c r="Z24" s="10">
        <v>3</v>
      </c>
      <c r="AA24" s="10">
        <v>8</v>
      </c>
      <c r="AB24" s="10">
        <v>6</v>
      </c>
      <c r="AC24" s="10">
        <v>3</v>
      </c>
      <c r="AD24" s="10">
        <v>10</v>
      </c>
      <c r="AE24" s="10">
        <f t="shared" si="9"/>
        <v>6.75</v>
      </c>
      <c r="AF24" s="10">
        <f t="shared" si="10"/>
        <v>8.5</v>
      </c>
      <c r="AG24" s="10">
        <f t="shared" si="11"/>
        <v>6.25</v>
      </c>
      <c r="AH24" s="10">
        <f t="shared" si="12"/>
        <v>4.5</v>
      </c>
      <c r="AI24" s="10">
        <f t="shared" si="13"/>
        <v>7.7</v>
      </c>
      <c r="AJ24" s="10">
        <f t="shared" si="14"/>
        <v>7</v>
      </c>
      <c r="AK24" s="10">
        <f t="shared" si="15"/>
        <v>-11.700000000000003</v>
      </c>
      <c r="AL24" s="10">
        <f t="shared" si="16"/>
        <v>58.3</v>
      </c>
      <c r="AM24" s="10">
        <f t="shared" si="17"/>
        <v>27</v>
      </c>
      <c r="AN24" s="10" t="s">
        <v>175</v>
      </c>
      <c r="AO24" s="10">
        <f t="shared" si="18"/>
        <v>7.3125</v>
      </c>
      <c r="AP24" s="10">
        <f t="shared" si="19"/>
        <v>8.25</v>
      </c>
      <c r="AQ24" s="10">
        <f t="shared" si="20"/>
        <v>6.375</v>
      </c>
      <c r="AR24" s="10">
        <f t="shared" si="21"/>
        <v>5.5</v>
      </c>
      <c r="AS24" s="10">
        <f t="shared" si="22"/>
        <v>64.099999999999994</v>
      </c>
      <c r="AT24" s="10">
        <f t="shared" si="23"/>
        <v>18</v>
      </c>
      <c r="AU24" s="10">
        <v>29</v>
      </c>
      <c r="AV24" s="10">
        <v>755</v>
      </c>
      <c r="AW24" s="10">
        <v>13</v>
      </c>
      <c r="AX24" s="10">
        <v>11</v>
      </c>
      <c r="AY24" s="17">
        <v>46042</v>
      </c>
      <c r="AZ24" s="10" t="s">
        <v>201</v>
      </c>
      <c r="BA24" s="10" t="s">
        <v>27</v>
      </c>
      <c r="BB24" s="17">
        <v>46121</v>
      </c>
      <c r="BC24" s="10">
        <f t="shared" si="24"/>
        <v>79</v>
      </c>
      <c r="BD24" s="10">
        <f t="shared" si="25"/>
        <v>9.6</v>
      </c>
      <c r="BE24" s="10">
        <f t="shared" si="26"/>
        <v>1.7</v>
      </c>
      <c r="BF24" s="10">
        <f t="shared" si="27"/>
        <v>1.5</v>
      </c>
      <c r="BG24" s="10">
        <f t="shared" si="28"/>
        <v>0.55000000000000004</v>
      </c>
      <c r="BH24" s="10">
        <v>61</v>
      </c>
      <c r="BI24" s="10" t="s">
        <v>223</v>
      </c>
      <c r="BJ24" s="10">
        <f t="shared" si="29"/>
        <v>5.28</v>
      </c>
      <c r="BK24" s="10" t="s">
        <v>235</v>
      </c>
      <c r="BL24" s="3" t="s">
        <v>373</v>
      </c>
      <c r="BM24" s="3" t="s">
        <v>374</v>
      </c>
      <c r="BN24" s="3" t="s">
        <v>313</v>
      </c>
      <c r="BO24" s="3" t="s">
        <v>375</v>
      </c>
      <c r="BP24" s="10" t="s">
        <v>229</v>
      </c>
      <c r="BQ24" s="3" t="s">
        <v>303</v>
      </c>
      <c r="BR24" s="4" t="s">
        <v>63</v>
      </c>
      <c r="BS24" s="19" t="s">
        <v>108</v>
      </c>
    </row>
    <row r="25" spans="1:71" ht="44.4" customHeight="1" x14ac:dyDescent="0.3">
      <c r="A25" s="4" t="s">
        <v>34</v>
      </c>
      <c r="B25" s="10">
        <v>8</v>
      </c>
      <c r="C25" s="10">
        <v>8</v>
      </c>
      <c r="D25" s="10">
        <v>8</v>
      </c>
      <c r="E25" s="10">
        <v>7</v>
      </c>
      <c r="F25" s="10">
        <v>6</v>
      </c>
      <c r="G25" s="10">
        <v>9</v>
      </c>
      <c r="H25" s="10">
        <v>2</v>
      </c>
      <c r="I25" s="10">
        <v>8</v>
      </c>
      <c r="J25" s="10">
        <v>6</v>
      </c>
      <c r="K25" s="10">
        <v>5</v>
      </c>
      <c r="L25" s="10">
        <f t="shared" si="0"/>
        <v>7.5</v>
      </c>
      <c r="M25" s="10">
        <f t="shared" si="1"/>
        <v>5</v>
      </c>
      <c r="N25" s="10">
        <f t="shared" si="2"/>
        <v>6.75</v>
      </c>
      <c r="O25" s="10">
        <f t="shared" si="3"/>
        <v>8.5</v>
      </c>
      <c r="P25" s="10">
        <f t="shared" si="4"/>
        <v>7.3</v>
      </c>
      <c r="Q25" s="10">
        <f t="shared" si="5"/>
        <v>5</v>
      </c>
      <c r="R25" s="10">
        <f t="shared" si="6"/>
        <v>7.1000000000000014</v>
      </c>
      <c r="S25" s="10">
        <f t="shared" si="7"/>
        <v>57.1</v>
      </c>
      <c r="T25" s="10">
        <f t="shared" si="8"/>
        <v>14</v>
      </c>
      <c r="U25" s="11">
        <v>6</v>
      </c>
      <c r="V25" s="10">
        <v>8</v>
      </c>
      <c r="W25" s="10">
        <v>2</v>
      </c>
      <c r="X25" s="10">
        <v>9</v>
      </c>
      <c r="Y25" s="10">
        <v>8</v>
      </c>
      <c r="Z25" s="10">
        <v>8</v>
      </c>
      <c r="AA25" s="10">
        <v>9</v>
      </c>
      <c r="AB25" s="10">
        <v>3</v>
      </c>
      <c r="AC25" s="10">
        <v>8</v>
      </c>
      <c r="AD25" s="10">
        <v>8</v>
      </c>
      <c r="AE25" s="10">
        <f t="shared" si="9"/>
        <v>8.25</v>
      </c>
      <c r="AF25" s="10">
        <f t="shared" si="10"/>
        <v>7.5</v>
      </c>
      <c r="AG25" s="10">
        <f t="shared" si="11"/>
        <v>5.25</v>
      </c>
      <c r="AH25" s="10">
        <f t="shared" si="12"/>
        <v>5</v>
      </c>
      <c r="AI25" s="10">
        <f t="shared" si="13"/>
        <v>6</v>
      </c>
      <c r="AJ25" s="10">
        <f t="shared" si="14"/>
        <v>8.5</v>
      </c>
      <c r="AK25" s="10">
        <f t="shared" si="15"/>
        <v>0</v>
      </c>
      <c r="AL25" s="10">
        <f t="shared" si="16"/>
        <v>60</v>
      </c>
      <c r="AM25" s="10">
        <f t="shared" si="17"/>
        <v>20</v>
      </c>
      <c r="AN25" s="10" t="s">
        <v>72</v>
      </c>
      <c r="AO25" s="10">
        <f t="shared" si="18"/>
        <v>7.875</v>
      </c>
      <c r="AP25" s="10">
        <f t="shared" si="19"/>
        <v>6.25</v>
      </c>
      <c r="AQ25" s="10">
        <f t="shared" si="20"/>
        <v>6</v>
      </c>
      <c r="AR25" s="10">
        <f t="shared" si="21"/>
        <v>6.75</v>
      </c>
      <c r="AS25" s="10">
        <f t="shared" si="22"/>
        <v>63.5</v>
      </c>
      <c r="AT25" s="10">
        <f t="shared" si="23"/>
        <v>7</v>
      </c>
      <c r="AU25" s="10"/>
      <c r="AV25" s="10"/>
      <c r="AW25" s="10"/>
      <c r="AX25" s="10"/>
      <c r="AY25" s="10"/>
      <c r="AZ25" s="10"/>
      <c r="BA25" s="10" t="s">
        <v>219</v>
      </c>
      <c r="BB25" s="10"/>
      <c r="BC25" s="10">
        <f t="shared" si="24"/>
        <v>0</v>
      </c>
      <c r="BD25" s="10" t="e">
        <f t="shared" si="25"/>
        <v>#DIV/0!</v>
      </c>
      <c r="BE25" s="10" t="e">
        <f t="shared" si="26"/>
        <v>#DIV/0!</v>
      </c>
      <c r="BF25" s="8" t="e">
        <f t="shared" si="27"/>
        <v>#DIV/0!</v>
      </c>
      <c r="BG25" s="10">
        <f t="shared" si="28"/>
        <v>0</v>
      </c>
      <c r="BH25" s="10"/>
      <c r="BI25" s="10"/>
      <c r="BJ25" s="10" t="e">
        <f t="shared" si="29"/>
        <v>#DIV/0!</v>
      </c>
      <c r="BK25" s="10"/>
      <c r="BL25" s="3"/>
      <c r="BM25" s="3"/>
      <c r="BN25" s="3"/>
      <c r="BO25" s="3"/>
      <c r="BP25" s="10"/>
      <c r="BQ25" s="3"/>
      <c r="BR25" s="4" t="s">
        <v>118</v>
      </c>
      <c r="BS25" s="20" t="s">
        <v>72</v>
      </c>
    </row>
    <row r="26" spans="1:71" ht="42.6" customHeight="1" x14ac:dyDescent="0.3">
      <c r="A26" s="4" t="s">
        <v>21</v>
      </c>
      <c r="B26" s="10">
        <v>5</v>
      </c>
      <c r="C26" s="10">
        <v>7</v>
      </c>
      <c r="D26" s="10">
        <v>6</v>
      </c>
      <c r="E26" s="10">
        <v>7.5</v>
      </c>
      <c r="F26" s="10">
        <v>7</v>
      </c>
      <c r="G26" s="10">
        <v>7</v>
      </c>
      <c r="H26" s="10">
        <v>8</v>
      </c>
      <c r="I26" s="10">
        <v>6</v>
      </c>
      <c r="J26" s="10">
        <v>8</v>
      </c>
      <c r="K26" s="10">
        <v>8</v>
      </c>
      <c r="L26" s="10">
        <f t="shared" si="0"/>
        <v>7.125</v>
      </c>
      <c r="M26" s="10">
        <f t="shared" si="1"/>
        <v>6.5</v>
      </c>
      <c r="N26" s="10">
        <f t="shared" si="2"/>
        <v>7</v>
      </c>
      <c r="O26" s="10">
        <f t="shared" si="3"/>
        <v>6.5</v>
      </c>
      <c r="P26" s="10">
        <f t="shared" si="4"/>
        <v>6.7</v>
      </c>
      <c r="Q26" s="10">
        <f t="shared" si="5"/>
        <v>7.9</v>
      </c>
      <c r="R26" s="10">
        <f t="shared" si="6"/>
        <v>16.900000000000006</v>
      </c>
      <c r="S26" s="10">
        <f t="shared" si="7"/>
        <v>66.900000000000006</v>
      </c>
      <c r="T26" s="10">
        <f t="shared" si="8"/>
        <v>4</v>
      </c>
      <c r="U26" s="11">
        <v>6</v>
      </c>
      <c r="V26" s="10">
        <v>8</v>
      </c>
      <c r="W26" s="10">
        <v>5</v>
      </c>
      <c r="X26" s="10">
        <v>8</v>
      </c>
      <c r="Y26" s="10">
        <v>6</v>
      </c>
      <c r="Z26" s="10">
        <v>5</v>
      </c>
      <c r="AA26" s="10">
        <v>7</v>
      </c>
      <c r="AB26" s="10">
        <v>6</v>
      </c>
      <c r="AC26" s="10">
        <v>7</v>
      </c>
      <c r="AD26" s="10">
        <v>8</v>
      </c>
      <c r="AE26" s="10">
        <f t="shared" si="9"/>
        <v>6.75</v>
      </c>
      <c r="AF26" s="10">
        <f t="shared" si="10"/>
        <v>6.5</v>
      </c>
      <c r="AG26" s="10">
        <f t="shared" si="11"/>
        <v>6.5</v>
      </c>
      <c r="AH26" s="10">
        <f t="shared" si="12"/>
        <v>5</v>
      </c>
      <c r="AI26" s="10">
        <f t="shared" si="13"/>
        <v>6.3</v>
      </c>
      <c r="AJ26" s="10">
        <f t="shared" si="14"/>
        <v>7.5</v>
      </c>
      <c r="AK26" s="10">
        <f t="shared" si="15"/>
        <v>-5.1000000000000014</v>
      </c>
      <c r="AL26" s="10">
        <f t="shared" si="16"/>
        <v>57.9</v>
      </c>
      <c r="AM26" s="10">
        <f t="shared" si="17"/>
        <v>16</v>
      </c>
      <c r="AN26" s="10" t="s">
        <v>175</v>
      </c>
      <c r="AO26" s="10">
        <f t="shared" si="18"/>
        <v>6.9375</v>
      </c>
      <c r="AP26" s="10">
        <f t="shared" si="19"/>
        <v>6.5</v>
      </c>
      <c r="AQ26" s="10">
        <f t="shared" si="20"/>
        <v>6.75</v>
      </c>
      <c r="AR26" s="10">
        <f t="shared" si="21"/>
        <v>5.75</v>
      </c>
      <c r="AS26" s="10">
        <f t="shared" si="22"/>
        <v>62.4</v>
      </c>
      <c r="AT26" s="10">
        <f t="shared" si="23"/>
        <v>10</v>
      </c>
      <c r="AU26" s="10">
        <v>442</v>
      </c>
      <c r="AV26" s="10">
        <v>204829</v>
      </c>
      <c r="AW26" s="10">
        <v>2693</v>
      </c>
      <c r="AX26" s="10">
        <v>820</v>
      </c>
      <c r="AY26" s="17">
        <v>42091</v>
      </c>
      <c r="AZ26" s="10" t="s">
        <v>201</v>
      </c>
      <c r="BA26" s="10" t="s">
        <v>25</v>
      </c>
      <c r="BB26" s="17">
        <v>46121</v>
      </c>
      <c r="BC26" s="10">
        <f t="shared" si="24"/>
        <v>4030</v>
      </c>
      <c r="BD26" s="10">
        <f t="shared" si="25"/>
        <v>50.8</v>
      </c>
      <c r="BE26" s="10">
        <f t="shared" si="26"/>
        <v>1.3</v>
      </c>
      <c r="BF26" s="10">
        <f t="shared" si="27"/>
        <v>0.4</v>
      </c>
      <c r="BG26" s="10">
        <f t="shared" si="28"/>
        <v>1</v>
      </c>
      <c r="BH26" s="10">
        <v>68</v>
      </c>
      <c r="BI26" s="10" t="s">
        <v>223</v>
      </c>
      <c r="BJ26" s="10">
        <f t="shared" si="29"/>
        <v>50.8</v>
      </c>
      <c r="BK26" s="10" t="s">
        <v>235</v>
      </c>
      <c r="BL26" s="3" t="s">
        <v>332</v>
      </c>
      <c r="BM26" s="3" t="s">
        <v>336</v>
      </c>
      <c r="BN26" s="3" t="s">
        <v>263</v>
      </c>
      <c r="BO26" s="3" t="s">
        <v>343</v>
      </c>
      <c r="BP26" s="10" t="s">
        <v>226</v>
      </c>
      <c r="BQ26" s="3" t="s">
        <v>288</v>
      </c>
      <c r="BR26" s="4" t="s">
        <v>92</v>
      </c>
      <c r="BS26" s="19" t="s">
        <v>91</v>
      </c>
    </row>
    <row r="27" spans="1:71" ht="42.6" customHeight="1" x14ac:dyDescent="0.3">
      <c r="A27" s="4" t="s">
        <v>29</v>
      </c>
      <c r="B27" s="10">
        <v>7</v>
      </c>
      <c r="C27" s="10">
        <v>8</v>
      </c>
      <c r="D27" s="10">
        <v>8</v>
      </c>
      <c r="E27" s="10">
        <v>6</v>
      </c>
      <c r="F27" s="10">
        <v>5</v>
      </c>
      <c r="G27" s="10">
        <v>9</v>
      </c>
      <c r="H27" s="10">
        <v>2</v>
      </c>
      <c r="I27" s="10">
        <v>7</v>
      </c>
      <c r="J27" s="10">
        <v>7</v>
      </c>
      <c r="K27" s="10">
        <v>5</v>
      </c>
      <c r="L27" s="10">
        <f t="shared" si="0"/>
        <v>7</v>
      </c>
      <c r="M27" s="10">
        <f t="shared" si="1"/>
        <v>4.5</v>
      </c>
      <c r="N27" s="10">
        <f t="shared" si="2"/>
        <v>6.75</v>
      </c>
      <c r="O27" s="10">
        <f t="shared" si="3"/>
        <v>8.5</v>
      </c>
      <c r="P27" s="10">
        <f t="shared" si="4"/>
        <v>7</v>
      </c>
      <c r="Q27" s="10">
        <f t="shared" si="5"/>
        <v>5</v>
      </c>
      <c r="R27" s="10">
        <f t="shared" si="6"/>
        <v>2.8999999999999986</v>
      </c>
      <c r="S27" s="10">
        <f t="shared" si="7"/>
        <v>52.9</v>
      </c>
      <c r="T27" s="10">
        <f t="shared" si="8"/>
        <v>16</v>
      </c>
      <c r="U27" s="11">
        <v>5</v>
      </c>
      <c r="V27" s="10">
        <v>8</v>
      </c>
      <c r="W27" s="10">
        <v>3</v>
      </c>
      <c r="X27" s="10">
        <v>9</v>
      </c>
      <c r="Y27" s="10">
        <v>8</v>
      </c>
      <c r="Z27" s="10">
        <v>7</v>
      </c>
      <c r="AA27" s="10">
        <v>9</v>
      </c>
      <c r="AB27" s="10">
        <v>4</v>
      </c>
      <c r="AC27" s="10">
        <v>8</v>
      </c>
      <c r="AD27" s="10">
        <v>8</v>
      </c>
      <c r="AE27" s="10">
        <f t="shared" si="9"/>
        <v>8</v>
      </c>
      <c r="AF27" s="10">
        <f t="shared" si="10"/>
        <v>7</v>
      </c>
      <c r="AG27" s="10">
        <f t="shared" si="11"/>
        <v>5.75</v>
      </c>
      <c r="AH27" s="10">
        <f t="shared" si="12"/>
        <v>5</v>
      </c>
      <c r="AI27" s="10">
        <f t="shared" si="13"/>
        <v>6.3</v>
      </c>
      <c r="AJ27" s="10">
        <f t="shared" si="14"/>
        <v>8.5</v>
      </c>
      <c r="AK27" s="10">
        <f t="shared" si="15"/>
        <v>-3.3999999999999986</v>
      </c>
      <c r="AL27" s="10">
        <f t="shared" si="16"/>
        <v>59.6</v>
      </c>
      <c r="AM27" s="10">
        <f t="shared" si="17"/>
        <v>19</v>
      </c>
      <c r="AN27" s="10" t="s">
        <v>72</v>
      </c>
      <c r="AO27" s="10">
        <f t="shared" si="18"/>
        <v>7.5</v>
      </c>
      <c r="AP27" s="10">
        <f t="shared" si="19"/>
        <v>5.75</v>
      </c>
      <c r="AQ27" s="10">
        <f t="shared" si="20"/>
        <v>6.25</v>
      </c>
      <c r="AR27" s="10">
        <f t="shared" si="21"/>
        <v>6.75</v>
      </c>
      <c r="AS27" s="10">
        <f t="shared" si="22"/>
        <v>61.3</v>
      </c>
      <c r="AT27" s="10">
        <f t="shared" si="23"/>
        <v>8</v>
      </c>
      <c r="AU27" s="10"/>
      <c r="AV27" s="10"/>
      <c r="AW27" s="10"/>
      <c r="AX27" s="10"/>
      <c r="AY27" s="10"/>
      <c r="AZ27" s="10"/>
      <c r="BA27" s="10" t="s">
        <v>219</v>
      </c>
      <c r="BB27" s="10"/>
      <c r="BC27" s="10">
        <f t="shared" si="24"/>
        <v>0</v>
      </c>
      <c r="BD27" s="10" t="e">
        <f t="shared" si="25"/>
        <v>#DIV/0!</v>
      </c>
      <c r="BE27" s="10" t="e">
        <f t="shared" si="26"/>
        <v>#DIV/0!</v>
      </c>
      <c r="BF27" s="8" t="e">
        <f t="shared" si="27"/>
        <v>#DIV/0!</v>
      </c>
      <c r="BG27" s="10">
        <f t="shared" si="28"/>
        <v>0</v>
      </c>
      <c r="BH27" s="10"/>
      <c r="BI27" s="10"/>
      <c r="BJ27" s="10" t="e">
        <f t="shared" si="29"/>
        <v>#DIV/0!</v>
      </c>
      <c r="BK27" s="10"/>
      <c r="BL27" s="3"/>
      <c r="BM27" s="3"/>
      <c r="BN27" s="3"/>
      <c r="BO27" s="3"/>
      <c r="BP27" s="10"/>
      <c r="BQ27" s="3"/>
      <c r="BR27" s="4" t="s">
        <v>117</v>
      </c>
      <c r="BS27" s="20" t="s">
        <v>72</v>
      </c>
    </row>
    <row r="28" spans="1:71" ht="23.4" customHeight="1" x14ac:dyDescent="0.3">
      <c r="A28" s="4" t="s">
        <v>18</v>
      </c>
      <c r="B28" s="10">
        <v>9</v>
      </c>
      <c r="C28" s="10">
        <v>4</v>
      </c>
      <c r="D28" s="10">
        <v>8</v>
      </c>
      <c r="E28" s="10">
        <v>6.5</v>
      </c>
      <c r="F28" s="10">
        <v>6</v>
      </c>
      <c r="G28" s="10">
        <v>7</v>
      </c>
      <c r="H28" s="10">
        <v>5</v>
      </c>
      <c r="I28" s="10">
        <v>7</v>
      </c>
      <c r="J28" s="10">
        <v>6</v>
      </c>
      <c r="K28" s="10">
        <v>5</v>
      </c>
      <c r="L28" s="10">
        <f t="shared" si="0"/>
        <v>5.875</v>
      </c>
      <c r="M28" s="10">
        <f t="shared" si="1"/>
        <v>7</v>
      </c>
      <c r="N28" s="10">
        <f t="shared" si="2"/>
        <v>6.5</v>
      </c>
      <c r="O28" s="10">
        <f t="shared" si="3"/>
        <v>7.5</v>
      </c>
      <c r="P28" s="10">
        <f t="shared" si="4"/>
        <v>6</v>
      </c>
      <c r="Q28" s="10">
        <f t="shared" si="5"/>
        <v>5.6</v>
      </c>
      <c r="R28" s="10">
        <f t="shared" si="6"/>
        <v>5.7000000000000028</v>
      </c>
      <c r="S28" s="10">
        <f t="shared" si="7"/>
        <v>61.7</v>
      </c>
      <c r="T28" s="10">
        <f t="shared" si="8"/>
        <v>6</v>
      </c>
      <c r="U28" s="11">
        <v>7</v>
      </c>
      <c r="V28" s="10">
        <v>5</v>
      </c>
      <c r="W28" s="10">
        <v>6</v>
      </c>
      <c r="X28" s="10">
        <v>6.5</v>
      </c>
      <c r="Y28" s="10">
        <v>5</v>
      </c>
      <c r="Z28" s="10">
        <v>7</v>
      </c>
      <c r="AA28" s="10">
        <v>5</v>
      </c>
      <c r="AB28" s="10">
        <v>7</v>
      </c>
      <c r="AC28" s="10">
        <v>6</v>
      </c>
      <c r="AD28" s="10">
        <v>6</v>
      </c>
      <c r="AE28" s="10">
        <f t="shared" si="9"/>
        <v>5.875</v>
      </c>
      <c r="AF28" s="10">
        <f t="shared" si="10"/>
        <v>6</v>
      </c>
      <c r="AG28" s="10">
        <f t="shared" si="11"/>
        <v>6.25</v>
      </c>
      <c r="AH28" s="10">
        <f t="shared" si="12"/>
        <v>6.5</v>
      </c>
      <c r="AI28" s="10">
        <f t="shared" si="13"/>
        <v>5.3</v>
      </c>
      <c r="AJ28" s="10">
        <f t="shared" si="14"/>
        <v>5.9</v>
      </c>
      <c r="AK28" s="10">
        <f t="shared" si="15"/>
        <v>6.6000000000000014</v>
      </c>
      <c r="AL28" s="10">
        <f t="shared" si="16"/>
        <v>59.6</v>
      </c>
      <c r="AM28" s="10">
        <f t="shared" si="17"/>
        <v>2</v>
      </c>
      <c r="AN28" s="10" t="s">
        <v>175</v>
      </c>
      <c r="AO28" s="10">
        <f t="shared" si="18"/>
        <v>5.875</v>
      </c>
      <c r="AP28" s="10">
        <f t="shared" si="19"/>
        <v>6.5</v>
      </c>
      <c r="AQ28" s="10">
        <f t="shared" si="20"/>
        <v>6.375</v>
      </c>
      <c r="AR28" s="10">
        <f t="shared" si="21"/>
        <v>7</v>
      </c>
      <c r="AS28" s="10">
        <f t="shared" si="22"/>
        <v>60.6</v>
      </c>
      <c r="AT28" s="10">
        <f t="shared" si="23"/>
        <v>4</v>
      </c>
      <c r="AU28" s="10">
        <v>295</v>
      </c>
      <c r="AV28" s="10">
        <v>59926</v>
      </c>
      <c r="AW28" s="10">
        <v>901</v>
      </c>
      <c r="AX28" s="10">
        <v>265</v>
      </c>
      <c r="AY28" s="17">
        <v>43960</v>
      </c>
      <c r="AZ28" s="10" t="s">
        <v>201</v>
      </c>
      <c r="BA28" s="10" t="s">
        <v>26</v>
      </c>
      <c r="BB28" s="17">
        <v>46121</v>
      </c>
      <c r="BC28" s="10">
        <f t="shared" si="24"/>
        <v>2161</v>
      </c>
      <c r="BD28" s="10">
        <f t="shared" si="25"/>
        <v>27.7</v>
      </c>
      <c r="BE28" s="10">
        <f t="shared" si="26"/>
        <v>1.5</v>
      </c>
      <c r="BF28" s="10">
        <f t="shared" si="27"/>
        <v>0.4</v>
      </c>
      <c r="BG28" s="10">
        <f t="shared" si="28"/>
        <v>0.99</v>
      </c>
      <c r="BH28" s="10">
        <v>63</v>
      </c>
      <c r="BI28" s="10" t="s">
        <v>223</v>
      </c>
      <c r="BJ28" s="10">
        <f t="shared" si="29"/>
        <v>27.422999999999998</v>
      </c>
      <c r="BK28" s="10" t="s">
        <v>135</v>
      </c>
      <c r="BL28" s="3" t="s">
        <v>247</v>
      </c>
      <c r="BM28" s="3" t="s">
        <v>248</v>
      </c>
      <c r="BN28" s="3" t="s">
        <v>249</v>
      </c>
      <c r="BO28" s="3" t="s">
        <v>250</v>
      </c>
      <c r="BP28" s="10" t="s">
        <v>237</v>
      </c>
      <c r="BQ28" s="3" t="s">
        <v>280</v>
      </c>
      <c r="BR28" s="4" t="s">
        <v>81</v>
      </c>
      <c r="BS28" s="19" t="s">
        <v>80</v>
      </c>
    </row>
    <row r="29" spans="1:71" ht="24" customHeight="1" x14ac:dyDescent="0.3">
      <c r="A29" s="4" t="s">
        <v>15</v>
      </c>
      <c r="B29" s="10">
        <v>10</v>
      </c>
      <c r="C29" s="10">
        <v>8</v>
      </c>
      <c r="D29" s="10">
        <v>7</v>
      </c>
      <c r="E29" s="10">
        <v>7.5</v>
      </c>
      <c r="F29" s="10">
        <v>7</v>
      </c>
      <c r="G29" s="10">
        <v>8</v>
      </c>
      <c r="H29" s="10">
        <v>3</v>
      </c>
      <c r="I29" s="10">
        <v>5</v>
      </c>
      <c r="J29" s="10">
        <v>6</v>
      </c>
      <c r="K29" s="10">
        <v>3</v>
      </c>
      <c r="L29" s="10">
        <f t="shared" si="0"/>
        <v>7.625</v>
      </c>
      <c r="M29" s="10">
        <f t="shared" si="1"/>
        <v>6.5</v>
      </c>
      <c r="N29" s="10">
        <f t="shared" si="2"/>
        <v>5.25</v>
      </c>
      <c r="O29" s="10">
        <f t="shared" si="3"/>
        <v>7.5</v>
      </c>
      <c r="P29" s="10">
        <f t="shared" si="4"/>
        <v>7.3</v>
      </c>
      <c r="Q29" s="10">
        <f t="shared" si="5"/>
        <v>4.9000000000000004</v>
      </c>
      <c r="R29" s="10">
        <f t="shared" si="6"/>
        <v>9.5</v>
      </c>
      <c r="S29" s="10">
        <f t="shared" si="7"/>
        <v>58.5</v>
      </c>
      <c r="T29" s="10">
        <f t="shared" si="8"/>
        <v>12</v>
      </c>
      <c r="U29" s="11">
        <v>10</v>
      </c>
      <c r="V29" s="10">
        <v>8</v>
      </c>
      <c r="W29" s="10">
        <v>7</v>
      </c>
      <c r="X29" s="10">
        <v>7.5</v>
      </c>
      <c r="Y29" s="10">
        <v>8</v>
      </c>
      <c r="Z29" s="10">
        <v>8</v>
      </c>
      <c r="AA29" s="10">
        <v>3</v>
      </c>
      <c r="AB29" s="10">
        <v>5</v>
      </c>
      <c r="AC29" s="10">
        <v>7</v>
      </c>
      <c r="AD29" s="10">
        <v>3</v>
      </c>
      <c r="AE29" s="10">
        <f t="shared" si="9"/>
        <v>7.875</v>
      </c>
      <c r="AF29" s="10">
        <f t="shared" si="10"/>
        <v>6.5</v>
      </c>
      <c r="AG29" s="10">
        <f t="shared" si="11"/>
        <v>5.5</v>
      </c>
      <c r="AH29" s="10">
        <f t="shared" si="12"/>
        <v>7.5</v>
      </c>
      <c r="AI29" s="10">
        <f t="shared" si="13"/>
        <v>7.7</v>
      </c>
      <c r="AJ29" s="10">
        <f t="shared" si="14"/>
        <v>5.0999999999999996</v>
      </c>
      <c r="AK29" s="10">
        <f t="shared" si="15"/>
        <v>9.6000000000000014</v>
      </c>
      <c r="AL29" s="10">
        <f t="shared" si="16"/>
        <v>60.6</v>
      </c>
      <c r="AM29" s="10">
        <f t="shared" si="17"/>
        <v>11</v>
      </c>
      <c r="AN29" s="10" t="s">
        <v>175</v>
      </c>
      <c r="AO29" s="10">
        <f t="shared" si="18"/>
        <v>7.75</v>
      </c>
      <c r="AP29" s="10">
        <f t="shared" si="19"/>
        <v>6.5</v>
      </c>
      <c r="AQ29" s="10">
        <f t="shared" si="20"/>
        <v>5.375</v>
      </c>
      <c r="AR29" s="10">
        <f t="shared" si="21"/>
        <v>7.5</v>
      </c>
      <c r="AS29" s="10">
        <f t="shared" si="22"/>
        <v>59.6</v>
      </c>
      <c r="AT29" s="10">
        <f t="shared" si="23"/>
        <v>12</v>
      </c>
      <c r="AU29" s="10">
        <v>4</v>
      </c>
      <c r="AV29" s="10">
        <v>3176</v>
      </c>
      <c r="AW29" s="10">
        <v>167</v>
      </c>
      <c r="AX29" s="10">
        <v>17</v>
      </c>
      <c r="AY29" s="17">
        <v>42056</v>
      </c>
      <c r="AZ29" s="10" t="s">
        <v>201</v>
      </c>
      <c r="BA29" s="10" t="s">
        <v>25</v>
      </c>
      <c r="BB29" s="17">
        <v>46121</v>
      </c>
      <c r="BC29" s="10">
        <f t="shared" si="24"/>
        <v>4065</v>
      </c>
      <c r="BD29" s="10">
        <f t="shared" si="25"/>
        <v>0.8</v>
      </c>
      <c r="BE29" s="10">
        <f t="shared" si="26"/>
        <v>5.3</v>
      </c>
      <c r="BF29" s="10">
        <f t="shared" si="27"/>
        <v>0.5</v>
      </c>
      <c r="BG29" s="10">
        <f t="shared" si="28"/>
        <v>1</v>
      </c>
      <c r="BH29" s="10">
        <v>75</v>
      </c>
      <c r="BI29" s="10" t="s">
        <v>223</v>
      </c>
      <c r="BJ29" s="10">
        <f t="shared" si="29"/>
        <v>0.8</v>
      </c>
      <c r="BK29" s="10" t="s">
        <v>135</v>
      </c>
      <c r="BL29" s="3" t="s">
        <v>333</v>
      </c>
      <c r="BM29" s="3" t="s">
        <v>227</v>
      </c>
      <c r="BN29" s="3" t="s">
        <v>342</v>
      </c>
      <c r="BO29" s="3" t="s">
        <v>228</v>
      </c>
      <c r="BP29" s="10" t="s">
        <v>226</v>
      </c>
      <c r="BQ29" s="3" t="s">
        <v>272</v>
      </c>
      <c r="BR29" s="4" t="s">
        <v>65</v>
      </c>
      <c r="BS29" s="19" t="s">
        <v>66</v>
      </c>
    </row>
    <row r="30" spans="1:71" ht="22.8" customHeight="1" x14ac:dyDescent="0.3">
      <c r="A30" s="4" t="s">
        <v>31</v>
      </c>
      <c r="B30" s="10">
        <v>7</v>
      </c>
      <c r="C30" s="10">
        <v>8</v>
      </c>
      <c r="D30" s="10">
        <v>7</v>
      </c>
      <c r="E30" s="10">
        <v>6</v>
      </c>
      <c r="F30" s="10">
        <v>5</v>
      </c>
      <c r="G30" s="10">
        <v>9</v>
      </c>
      <c r="H30" s="10">
        <v>2</v>
      </c>
      <c r="I30" s="10">
        <v>8</v>
      </c>
      <c r="J30" s="10">
        <v>8</v>
      </c>
      <c r="K30" s="10">
        <v>6</v>
      </c>
      <c r="L30" s="10">
        <f t="shared" si="0"/>
        <v>7</v>
      </c>
      <c r="M30" s="10">
        <f t="shared" si="1"/>
        <v>4.5</v>
      </c>
      <c r="N30" s="10">
        <f t="shared" si="2"/>
        <v>7.25</v>
      </c>
      <c r="O30" s="10">
        <f t="shared" si="3"/>
        <v>8</v>
      </c>
      <c r="P30" s="10">
        <f t="shared" si="4"/>
        <v>6.7</v>
      </c>
      <c r="Q30" s="10">
        <f t="shared" si="5"/>
        <v>5.5</v>
      </c>
      <c r="R30" s="10">
        <f t="shared" si="6"/>
        <v>-1.2000000000000028</v>
      </c>
      <c r="S30" s="10">
        <f t="shared" si="7"/>
        <v>53.8</v>
      </c>
      <c r="T30" s="10">
        <f t="shared" si="8"/>
        <v>18</v>
      </c>
      <c r="U30" s="11">
        <v>4</v>
      </c>
      <c r="V30" s="10">
        <v>7</v>
      </c>
      <c r="W30" s="10">
        <v>3</v>
      </c>
      <c r="X30" s="10">
        <v>8</v>
      </c>
      <c r="Y30" s="10">
        <v>7</v>
      </c>
      <c r="Z30" s="10">
        <v>7</v>
      </c>
      <c r="AA30" s="10">
        <v>9</v>
      </c>
      <c r="AB30" s="10">
        <v>4</v>
      </c>
      <c r="AC30" s="10">
        <v>8</v>
      </c>
      <c r="AD30" s="10">
        <v>8</v>
      </c>
      <c r="AE30" s="10">
        <f t="shared" si="9"/>
        <v>7.25</v>
      </c>
      <c r="AF30" s="10">
        <f t="shared" si="10"/>
        <v>6.5</v>
      </c>
      <c r="AG30" s="10">
        <f t="shared" si="11"/>
        <v>5.75</v>
      </c>
      <c r="AH30" s="10">
        <f t="shared" si="12"/>
        <v>5</v>
      </c>
      <c r="AI30" s="10">
        <f t="shared" si="13"/>
        <v>5.7</v>
      </c>
      <c r="AJ30" s="10">
        <f t="shared" si="14"/>
        <v>8.3000000000000007</v>
      </c>
      <c r="AK30" s="10">
        <f t="shared" si="15"/>
        <v>0.5</v>
      </c>
      <c r="AL30" s="10">
        <f t="shared" si="16"/>
        <v>57.5</v>
      </c>
      <c r="AM30" s="10">
        <f t="shared" si="17"/>
        <v>15</v>
      </c>
      <c r="AN30" s="10" t="s">
        <v>72</v>
      </c>
      <c r="AO30" s="10">
        <f t="shared" si="18"/>
        <v>7.125</v>
      </c>
      <c r="AP30" s="10">
        <f t="shared" si="19"/>
        <v>5.5</v>
      </c>
      <c r="AQ30" s="10">
        <f t="shared" si="20"/>
        <v>6.5</v>
      </c>
      <c r="AR30" s="10">
        <f t="shared" si="21"/>
        <v>6.5</v>
      </c>
      <c r="AS30" s="10">
        <f t="shared" si="22"/>
        <v>59.4</v>
      </c>
      <c r="AT30" s="10">
        <f t="shared" si="23"/>
        <v>9</v>
      </c>
      <c r="AU30" s="10"/>
      <c r="AV30" s="10"/>
      <c r="AW30" s="10"/>
      <c r="AX30" s="10"/>
      <c r="AY30" s="10"/>
      <c r="AZ30" s="10"/>
      <c r="BA30" s="10" t="s">
        <v>219</v>
      </c>
      <c r="BB30" s="10"/>
      <c r="BC30" s="10">
        <f t="shared" si="24"/>
        <v>0</v>
      </c>
      <c r="BD30" s="10" t="e">
        <f t="shared" si="25"/>
        <v>#DIV/0!</v>
      </c>
      <c r="BE30" s="10" t="e">
        <f t="shared" si="26"/>
        <v>#DIV/0!</v>
      </c>
      <c r="BF30" s="8" t="e">
        <f t="shared" si="27"/>
        <v>#DIV/0!</v>
      </c>
      <c r="BG30" s="10">
        <f t="shared" si="28"/>
        <v>0</v>
      </c>
      <c r="BH30" s="10"/>
      <c r="BI30" s="10"/>
      <c r="BJ30" s="10" t="e">
        <f t="shared" si="29"/>
        <v>#DIV/0!</v>
      </c>
      <c r="BK30" s="10"/>
      <c r="BL30" s="3"/>
      <c r="BM30" s="3"/>
      <c r="BN30" s="3"/>
      <c r="BO30" s="3"/>
      <c r="BP30" s="10"/>
      <c r="BQ30" s="3"/>
      <c r="BR30" s="4" t="s">
        <v>120</v>
      </c>
      <c r="BS30" s="20" t="s">
        <v>72</v>
      </c>
    </row>
    <row r="31" spans="1:71" ht="28.2" customHeight="1" x14ac:dyDescent="0.3">
      <c r="A31" s="4" t="s">
        <v>36</v>
      </c>
      <c r="B31" s="10">
        <v>5</v>
      </c>
      <c r="C31" s="10">
        <v>6</v>
      </c>
      <c r="D31" s="10">
        <v>6</v>
      </c>
      <c r="E31" s="10">
        <v>5</v>
      </c>
      <c r="F31" s="10">
        <v>2</v>
      </c>
      <c r="G31" s="10">
        <v>6</v>
      </c>
      <c r="H31" s="10">
        <v>6</v>
      </c>
      <c r="I31" s="10">
        <v>7</v>
      </c>
      <c r="J31" s="10">
        <v>6</v>
      </c>
      <c r="K31" s="10">
        <v>6</v>
      </c>
      <c r="L31" s="10">
        <f t="shared" si="0"/>
        <v>4.75</v>
      </c>
      <c r="M31" s="10">
        <f t="shared" si="1"/>
        <v>5.5</v>
      </c>
      <c r="N31" s="10">
        <f t="shared" si="2"/>
        <v>6.25</v>
      </c>
      <c r="O31" s="10">
        <f t="shared" si="3"/>
        <v>6</v>
      </c>
      <c r="P31" s="10">
        <f t="shared" si="4"/>
        <v>4.7</v>
      </c>
      <c r="Q31" s="10">
        <f t="shared" si="5"/>
        <v>5.8</v>
      </c>
      <c r="R31" s="10">
        <f t="shared" si="6"/>
        <v>4.2999999999999972</v>
      </c>
      <c r="S31" s="10">
        <f t="shared" si="7"/>
        <v>51.3</v>
      </c>
      <c r="T31" s="10">
        <f t="shared" si="8"/>
        <v>8</v>
      </c>
      <c r="U31" s="11">
        <v>5</v>
      </c>
      <c r="V31" s="10">
        <v>7</v>
      </c>
      <c r="W31" s="10">
        <v>8</v>
      </c>
      <c r="X31" s="10">
        <v>7</v>
      </c>
      <c r="Y31" s="10">
        <v>7</v>
      </c>
      <c r="Z31" s="10">
        <v>7</v>
      </c>
      <c r="AA31" s="10">
        <v>7</v>
      </c>
      <c r="AB31" s="10">
        <v>7</v>
      </c>
      <c r="AC31" s="10">
        <v>6</v>
      </c>
      <c r="AD31" s="10">
        <v>7</v>
      </c>
      <c r="AE31" s="10">
        <f t="shared" si="9"/>
        <v>7</v>
      </c>
      <c r="AF31" s="10">
        <f t="shared" si="10"/>
        <v>6</v>
      </c>
      <c r="AG31" s="10">
        <f t="shared" si="11"/>
        <v>7</v>
      </c>
      <c r="AH31" s="10">
        <f t="shared" si="12"/>
        <v>7.5</v>
      </c>
      <c r="AI31" s="10">
        <f t="shared" si="13"/>
        <v>7.3</v>
      </c>
      <c r="AJ31" s="10">
        <f t="shared" si="14"/>
        <v>6.8</v>
      </c>
      <c r="AK31" s="10">
        <f t="shared" si="15"/>
        <v>3.2999999999999972</v>
      </c>
      <c r="AL31" s="10">
        <f t="shared" si="16"/>
        <v>63.3</v>
      </c>
      <c r="AM31" s="10">
        <f t="shared" si="17"/>
        <v>7</v>
      </c>
      <c r="AN31" s="10" t="s">
        <v>72</v>
      </c>
      <c r="AO31" s="10">
        <f t="shared" si="18"/>
        <v>5.875</v>
      </c>
      <c r="AP31" s="10">
        <f t="shared" si="19"/>
        <v>5.75</v>
      </c>
      <c r="AQ31" s="10">
        <f t="shared" si="20"/>
        <v>6.625</v>
      </c>
      <c r="AR31" s="10">
        <f t="shared" si="21"/>
        <v>6.75</v>
      </c>
      <c r="AS31" s="10">
        <f t="shared" si="22"/>
        <v>59.2</v>
      </c>
      <c r="AT31" s="10">
        <f t="shared" si="23"/>
        <v>3</v>
      </c>
      <c r="AU31" s="10"/>
      <c r="AV31" s="10"/>
      <c r="AW31" s="10"/>
      <c r="AX31" s="10"/>
      <c r="AY31" s="10"/>
      <c r="AZ31" s="10"/>
      <c r="BA31" s="10" t="s">
        <v>219</v>
      </c>
      <c r="BB31" s="10"/>
      <c r="BC31" s="10">
        <f t="shared" si="24"/>
        <v>0</v>
      </c>
      <c r="BD31" s="10" t="e">
        <f t="shared" si="25"/>
        <v>#DIV/0!</v>
      </c>
      <c r="BE31" s="10" t="e">
        <f t="shared" si="26"/>
        <v>#DIV/0!</v>
      </c>
      <c r="BF31" s="8" t="e">
        <f t="shared" si="27"/>
        <v>#DIV/0!</v>
      </c>
      <c r="BG31" s="10">
        <f t="shared" si="28"/>
        <v>0</v>
      </c>
      <c r="BH31" s="10"/>
      <c r="BI31" s="10"/>
      <c r="BJ31" s="10" t="e">
        <f t="shared" si="29"/>
        <v>#DIV/0!</v>
      </c>
      <c r="BK31" s="10"/>
      <c r="BL31" s="3"/>
      <c r="BM31" s="3"/>
      <c r="BN31" s="3"/>
      <c r="BO31" s="3"/>
      <c r="BP31" s="10"/>
      <c r="BQ31" s="3"/>
      <c r="BR31" s="4" t="s">
        <v>119</v>
      </c>
      <c r="BS31" s="20" t="s">
        <v>72</v>
      </c>
    </row>
    <row r="32" spans="1:71" ht="20.399999999999999" customHeight="1" x14ac:dyDescent="0.3">
      <c r="A32" s="4" t="s">
        <v>150</v>
      </c>
      <c r="B32" s="10">
        <v>7</v>
      </c>
      <c r="C32" s="10">
        <v>7</v>
      </c>
      <c r="D32" s="10">
        <v>7</v>
      </c>
      <c r="E32" s="10">
        <v>6</v>
      </c>
      <c r="F32" s="10">
        <v>3</v>
      </c>
      <c r="G32" s="10">
        <v>4</v>
      </c>
      <c r="H32" s="10">
        <v>8</v>
      </c>
      <c r="I32" s="10">
        <v>8</v>
      </c>
      <c r="J32" s="10">
        <v>6</v>
      </c>
      <c r="K32" s="10">
        <v>6</v>
      </c>
      <c r="L32" s="10">
        <f t="shared" si="0"/>
        <v>5</v>
      </c>
      <c r="M32" s="10">
        <f t="shared" si="1"/>
        <v>7.5</v>
      </c>
      <c r="N32" s="10">
        <f t="shared" si="2"/>
        <v>6.75</v>
      </c>
      <c r="O32" s="10">
        <f t="shared" si="3"/>
        <v>5.5</v>
      </c>
      <c r="P32" s="10">
        <f t="shared" si="4"/>
        <v>5.7</v>
      </c>
      <c r="Q32" s="10">
        <f t="shared" si="5"/>
        <v>6.5</v>
      </c>
      <c r="R32" s="10">
        <f t="shared" si="6"/>
        <v>0.10000000000000142</v>
      </c>
      <c r="S32" s="10">
        <f t="shared" si="7"/>
        <v>57.1</v>
      </c>
      <c r="T32" s="10">
        <f t="shared" si="8"/>
        <v>14</v>
      </c>
      <c r="U32" s="10">
        <v>7</v>
      </c>
      <c r="V32" s="10">
        <v>7</v>
      </c>
      <c r="W32" s="10">
        <v>7</v>
      </c>
      <c r="X32" s="10">
        <v>6</v>
      </c>
      <c r="Y32" s="10">
        <v>3</v>
      </c>
      <c r="Z32" s="10">
        <v>4</v>
      </c>
      <c r="AA32" s="10">
        <v>8</v>
      </c>
      <c r="AB32" s="10">
        <v>8</v>
      </c>
      <c r="AC32" s="10">
        <v>6</v>
      </c>
      <c r="AD32" s="10">
        <v>6</v>
      </c>
      <c r="AE32" s="10">
        <f t="shared" si="9"/>
        <v>5</v>
      </c>
      <c r="AF32" s="10">
        <f t="shared" si="10"/>
        <v>7.5</v>
      </c>
      <c r="AG32" s="10">
        <f t="shared" si="11"/>
        <v>6.75</v>
      </c>
      <c r="AH32" s="10">
        <f t="shared" si="12"/>
        <v>5.5</v>
      </c>
      <c r="AI32" s="10">
        <f t="shared" si="13"/>
        <v>5.7</v>
      </c>
      <c r="AJ32" s="10">
        <f t="shared" si="14"/>
        <v>6.5</v>
      </c>
      <c r="AK32" s="10">
        <f t="shared" si="15"/>
        <v>0.10000000000000142</v>
      </c>
      <c r="AL32" s="10">
        <f t="shared" si="16"/>
        <v>57.1</v>
      </c>
      <c r="AM32" s="10">
        <f t="shared" si="17"/>
        <v>14</v>
      </c>
      <c r="AN32" s="10" t="s">
        <v>72</v>
      </c>
      <c r="AO32" s="10">
        <f t="shared" si="18"/>
        <v>5</v>
      </c>
      <c r="AP32" s="10">
        <f t="shared" si="19"/>
        <v>7.5</v>
      </c>
      <c r="AQ32" s="10">
        <f t="shared" si="20"/>
        <v>6.75</v>
      </c>
      <c r="AR32" s="10">
        <f t="shared" si="21"/>
        <v>5.5</v>
      </c>
      <c r="AS32" s="10">
        <f t="shared" si="22"/>
        <v>57.1</v>
      </c>
      <c r="AT32" s="10">
        <f t="shared" si="23"/>
        <v>14</v>
      </c>
      <c r="AU32" s="10"/>
      <c r="AV32" s="10"/>
      <c r="AW32" s="10"/>
      <c r="AX32" s="10"/>
      <c r="AY32" s="10"/>
      <c r="AZ32" s="10"/>
      <c r="BA32" s="10" t="s">
        <v>219</v>
      </c>
      <c r="BB32" s="10"/>
      <c r="BC32" s="10">
        <f t="shared" si="24"/>
        <v>0</v>
      </c>
      <c r="BD32" s="10" t="e">
        <f t="shared" si="25"/>
        <v>#DIV/0!</v>
      </c>
      <c r="BE32" s="10" t="e">
        <f t="shared" si="26"/>
        <v>#DIV/0!</v>
      </c>
      <c r="BF32" s="8" t="e">
        <f t="shared" si="27"/>
        <v>#DIV/0!</v>
      </c>
      <c r="BG32" s="10">
        <f t="shared" si="28"/>
        <v>0</v>
      </c>
      <c r="BH32" s="10"/>
      <c r="BI32" s="10"/>
      <c r="BJ32" s="10" t="e">
        <f t="shared" si="29"/>
        <v>#DIV/0!</v>
      </c>
      <c r="BK32" s="10"/>
      <c r="BL32" s="3"/>
      <c r="BM32" s="3"/>
      <c r="BN32" s="3"/>
      <c r="BO32" s="3"/>
      <c r="BP32" s="10"/>
      <c r="BQ32" s="3"/>
      <c r="BR32" s="4" t="s">
        <v>387</v>
      </c>
      <c r="BS32" s="20" t="s">
        <v>72</v>
      </c>
    </row>
    <row r="33" spans="1:71" ht="23.4" customHeight="1" x14ac:dyDescent="0.3">
      <c r="A33" s="4" t="s">
        <v>4</v>
      </c>
      <c r="B33" s="10">
        <v>8</v>
      </c>
      <c r="C33" s="10">
        <v>8</v>
      </c>
      <c r="D33" s="10">
        <v>6</v>
      </c>
      <c r="E33" s="10">
        <v>8</v>
      </c>
      <c r="F33" s="10">
        <v>7</v>
      </c>
      <c r="G33" s="10">
        <v>7</v>
      </c>
      <c r="H33" s="10">
        <v>5</v>
      </c>
      <c r="I33" s="10">
        <v>4</v>
      </c>
      <c r="J33" s="10">
        <v>5</v>
      </c>
      <c r="K33" s="10">
        <v>5</v>
      </c>
      <c r="L33" s="10">
        <f t="shared" si="0"/>
        <v>7.5</v>
      </c>
      <c r="M33" s="10">
        <f t="shared" si="1"/>
        <v>6.5</v>
      </c>
      <c r="N33" s="10">
        <f t="shared" si="2"/>
        <v>5</v>
      </c>
      <c r="O33" s="10">
        <f t="shared" si="3"/>
        <v>6.5</v>
      </c>
      <c r="P33" s="10">
        <f t="shared" si="4"/>
        <v>7</v>
      </c>
      <c r="Q33" s="10">
        <f t="shared" si="5"/>
        <v>5.8</v>
      </c>
      <c r="R33" s="10">
        <f t="shared" si="6"/>
        <v>-1.2999999999999972</v>
      </c>
      <c r="S33" s="10">
        <f t="shared" si="7"/>
        <v>56.7</v>
      </c>
      <c r="T33" s="10">
        <f t="shared" si="8"/>
        <v>13</v>
      </c>
      <c r="U33" s="11">
        <v>8</v>
      </c>
      <c r="V33" s="10">
        <v>9</v>
      </c>
      <c r="W33" s="10">
        <v>6</v>
      </c>
      <c r="X33" s="10">
        <v>7</v>
      </c>
      <c r="Y33" s="10">
        <v>7</v>
      </c>
      <c r="Z33" s="10">
        <v>8</v>
      </c>
      <c r="AA33" s="10">
        <v>5</v>
      </c>
      <c r="AB33" s="10">
        <v>4</v>
      </c>
      <c r="AC33" s="10">
        <v>4</v>
      </c>
      <c r="AD33" s="10">
        <v>5</v>
      </c>
      <c r="AE33" s="10">
        <f t="shared" si="9"/>
        <v>7.75</v>
      </c>
      <c r="AF33" s="10">
        <f t="shared" si="10"/>
        <v>6.5</v>
      </c>
      <c r="AG33" s="10">
        <f t="shared" si="11"/>
        <v>4.75</v>
      </c>
      <c r="AH33" s="10">
        <f t="shared" si="12"/>
        <v>7</v>
      </c>
      <c r="AI33" s="10">
        <f t="shared" si="13"/>
        <v>7.3</v>
      </c>
      <c r="AJ33" s="10">
        <f t="shared" si="14"/>
        <v>5.3</v>
      </c>
      <c r="AK33" s="10">
        <f t="shared" si="15"/>
        <v>2.3999999999999986</v>
      </c>
      <c r="AL33" s="10">
        <f t="shared" si="16"/>
        <v>55.4</v>
      </c>
      <c r="AM33" s="10">
        <f t="shared" si="17"/>
        <v>16</v>
      </c>
      <c r="AN33" s="10" t="s">
        <v>175</v>
      </c>
      <c r="AO33" s="10">
        <f t="shared" si="18"/>
        <v>7.625</v>
      </c>
      <c r="AP33" s="10">
        <f t="shared" si="19"/>
        <v>6.5</v>
      </c>
      <c r="AQ33" s="10">
        <f t="shared" si="20"/>
        <v>4.875</v>
      </c>
      <c r="AR33" s="10">
        <f t="shared" si="21"/>
        <v>6.75</v>
      </c>
      <c r="AS33" s="10">
        <f t="shared" si="22"/>
        <v>56</v>
      </c>
      <c r="AT33" s="10">
        <f t="shared" si="23"/>
        <v>15</v>
      </c>
      <c r="AU33" s="10">
        <v>82</v>
      </c>
      <c r="AV33" s="10">
        <v>34182</v>
      </c>
      <c r="AW33" s="10">
        <v>1059</v>
      </c>
      <c r="AX33" s="10">
        <v>261</v>
      </c>
      <c r="AY33" s="17">
        <v>44153</v>
      </c>
      <c r="AZ33" s="10" t="s">
        <v>201</v>
      </c>
      <c r="BA33" s="10" t="s">
        <v>26</v>
      </c>
      <c r="BB33" s="17">
        <v>46121</v>
      </c>
      <c r="BC33" s="10">
        <f t="shared" si="24"/>
        <v>1968</v>
      </c>
      <c r="BD33" s="10">
        <f t="shared" si="25"/>
        <v>17.399999999999999</v>
      </c>
      <c r="BE33" s="10">
        <f t="shared" si="26"/>
        <v>3.1</v>
      </c>
      <c r="BF33" s="10">
        <f t="shared" si="27"/>
        <v>0.8</v>
      </c>
      <c r="BG33" s="10">
        <f t="shared" si="28"/>
        <v>0.99</v>
      </c>
      <c r="BH33" s="10">
        <v>62</v>
      </c>
      <c r="BI33" s="10" t="s">
        <v>223</v>
      </c>
      <c r="BJ33" s="10">
        <f t="shared" si="29"/>
        <v>17.225999999999999</v>
      </c>
      <c r="BK33" s="10" t="s">
        <v>235</v>
      </c>
      <c r="BL33" s="3" t="s">
        <v>267</v>
      </c>
      <c r="BM33" s="3" t="s">
        <v>268</v>
      </c>
      <c r="BN33" s="3" t="s">
        <v>269</v>
      </c>
      <c r="BO33" s="3" t="s">
        <v>386</v>
      </c>
      <c r="BP33" s="10" t="s">
        <v>237</v>
      </c>
      <c r="BQ33" s="3" t="s">
        <v>290</v>
      </c>
      <c r="BR33" s="4" t="s">
        <v>96</v>
      </c>
      <c r="BS33" s="19" t="s">
        <v>95</v>
      </c>
    </row>
    <row r="34" spans="1:71" ht="29.4" customHeight="1" x14ac:dyDescent="0.3">
      <c r="A34" s="4" t="s">
        <v>398</v>
      </c>
      <c r="B34" s="10">
        <v>7</v>
      </c>
      <c r="C34" s="10">
        <v>5</v>
      </c>
      <c r="D34" s="10">
        <v>7</v>
      </c>
      <c r="E34" s="10">
        <v>6</v>
      </c>
      <c r="F34" s="10">
        <v>7</v>
      </c>
      <c r="G34" s="10">
        <v>5</v>
      </c>
      <c r="H34" s="10">
        <v>5</v>
      </c>
      <c r="I34" s="10">
        <v>5</v>
      </c>
      <c r="J34" s="10">
        <v>5</v>
      </c>
      <c r="K34" s="10">
        <v>3</v>
      </c>
      <c r="L34" s="10">
        <f t="shared" si="0"/>
        <v>5.75</v>
      </c>
      <c r="M34" s="10">
        <f t="shared" si="1"/>
        <v>6</v>
      </c>
      <c r="N34" s="10">
        <f t="shared" si="2"/>
        <v>5</v>
      </c>
      <c r="O34" s="10">
        <f t="shared" si="3"/>
        <v>6</v>
      </c>
      <c r="P34" s="10">
        <f t="shared" si="4"/>
        <v>6.3</v>
      </c>
      <c r="Q34" s="10">
        <f t="shared" si="5"/>
        <v>4.8</v>
      </c>
      <c r="R34" s="10">
        <f t="shared" si="6"/>
        <v>4.8999999999999986</v>
      </c>
      <c r="S34" s="10">
        <f t="shared" si="7"/>
        <v>52.9</v>
      </c>
      <c r="T34" s="10">
        <f t="shared" si="8"/>
        <v>6</v>
      </c>
      <c r="U34" s="11">
        <v>8</v>
      </c>
      <c r="V34" s="10">
        <v>3</v>
      </c>
      <c r="W34" s="10">
        <v>7</v>
      </c>
      <c r="X34" s="10">
        <v>6</v>
      </c>
      <c r="Y34" s="10">
        <v>6</v>
      </c>
      <c r="Z34" s="10">
        <v>5</v>
      </c>
      <c r="AA34" s="10">
        <v>6</v>
      </c>
      <c r="AB34" s="10">
        <v>6</v>
      </c>
      <c r="AC34" s="10">
        <v>5</v>
      </c>
      <c r="AD34" s="10">
        <v>4</v>
      </c>
      <c r="AE34" s="10">
        <f t="shared" si="9"/>
        <v>5</v>
      </c>
      <c r="AF34" s="10">
        <f t="shared" si="10"/>
        <v>7</v>
      </c>
      <c r="AG34" s="10">
        <f t="shared" si="11"/>
        <v>5.5</v>
      </c>
      <c r="AH34" s="10">
        <f t="shared" si="12"/>
        <v>6</v>
      </c>
      <c r="AI34" s="10">
        <f t="shared" si="13"/>
        <v>5.3</v>
      </c>
      <c r="AJ34" s="10">
        <f t="shared" si="14"/>
        <v>5.3</v>
      </c>
      <c r="AK34" s="10">
        <f t="shared" si="15"/>
        <v>1.2000000000000028</v>
      </c>
      <c r="AL34" s="10">
        <f t="shared" si="16"/>
        <v>54.2</v>
      </c>
      <c r="AM34" s="10">
        <f t="shared" si="17"/>
        <v>8</v>
      </c>
      <c r="AN34" s="10" t="s">
        <v>400</v>
      </c>
      <c r="AO34" s="10">
        <f t="shared" si="18"/>
        <v>5.375</v>
      </c>
      <c r="AP34" s="10">
        <f t="shared" si="19"/>
        <v>6.5</v>
      </c>
      <c r="AQ34" s="10">
        <f t="shared" si="20"/>
        <v>5.25</v>
      </c>
      <c r="AR34" s="10">
        <f t="shared" si="21"/>
        <v>6</v>
      </c>
      <c r="AS34" s="10">
        <f t="shared" si="22"/>
        <v>54.8</v>
      </c>
      <c r="AT34" s="10">
        <f t="shared" si="23"/>
        <v>5</v>
      </c>
      <c r="AU34" s="10">
        <v>121</v>
      </c>
      <c r="AV34" s="10">
        <v>8100</v>
      </c>
      <c r="AW34" s="10">
        <v>307</v>
      </c>
      <c r="AX34" s="10">
        <v>296</v>
      </c>
      <c r="AY34" s="17">
        <v>46061</v>
      </c>
      <c r="AZ34" s="10" t="s">
        <v>203</v>
      </c>
      <c r="BA34" s="10" t="s">
        <v>25</v>
      </c>
      <c r="BB34" s="17">
        <v>46121</v>
      </c>
      <c r="BC34" s="10">
        <f t="shared" si="24"/>
        <v>60</v>
      </c>
      <c r="BD34" s="10">
        <f t="shared" si="25"/>
        <v>135</v>
      </c>
      <c r="BE34" s="10">
        <f t="shared" si="26"/>
        <v>3.8</v>
      </c>
      <c r="BF34" s="10">
        <f t="shared" si="27"/>
        <v>3.7</v>
      </c>
      <c r="BG34" s="10">
        <f t="shared" si="28"/>
        <v>0.4</v>
      </c>
      <c r="BH34" s="10">
        <v>76</v>
      </c>
      <c r="BI34" s="10" t="s">
        <v>399</v>
      </c>
      <c r="BJ34" s="10">
        <f t="shared" si="29"/>
        <v>54</v>
      </c>
      <c r="BK34" s="10" t="s">
        <v>135</v>
      </c>
      <c r="BL34" s="3" t="s">
        <v>334</v>
      </c>
      <c r="BM34" s="3" t="s">
        <v>239</v>
      </c>
      <c r="BN34" s="3" t="s">
        <v>245</v>
      </c>
      <c r="BO34" s="3" t="s">
        <v>246</v>
      </c>
      <c r="BP34" s="10" t="s">
        <v>226</v>
      </c>
      <c r="BQ34" s="3" t="s">
        <v>279</v>
      </c>
      <c r="BR34" s="4" t="s">
        <v>79</v>
      </c>
      <c r="BS34" s="19" t="s">
        <v>78</v>
      </c>
    </row>
    <row r="35" spans="1:71" ht="30" customHeight="1" x14ac:dyDescent="0.3">
      <c r="A35" s="4" t="s">
        <v>33</v>
      </c>
      <c r="B35" s="10">
        <v>6</v>
      </c>
      <c r="C35" s="10">
        <v>7</v>
      </c>
      <c r="D35" s="10">
        <v>7</v>
      </c>
      <c r="E35" s="10">
        <v>6</v>
      </c>
      <c r="F35" s="10">
        <v>3</v>
      </c>
      <c r="G35" s="10">
        <v>9</v>
      </c>
      <c r="H35" s="10">
        <v>2</v>
      </c>
      <c r="I35" s="10">
        <v>4</v>
      </c>
      <c r="J35" s="10">
        <v>6</v>
      </c>
      <c r="K35" s="10">
        <v>5</v>
      </c>
      <c r="L35" s="10">
        <f t="shared" si="0"/>
        <v>6.25</v>
      </c>
      <c r="M35" s="10">
        <f t="shared" si="1"/>
        <v>4</v>
      </c>
      <c r="N35" s="10">
        <f t="shared" si="2"/>
        <v>5.5</v>
      </c>
      <c r="O35" s="10">
        <f t="shared" si="3"/>
        <v>8</v>
      </c>
      <c r="P35" s="10">
        <f t="shared" si="4"/>
        <v>5.7</v>
      </c>
      <c r="Q35" s="10">
        <f t="shared" si="5"/>
        <v>4.8</v>
      </c>
      <c r="R35" s="10">
        <f t="shared" si="6"/>
        <v>-1.7000000000000028</v>
      </c>
      <c r="S35" s="10">
        <f t="shared" si="7"/>
        <v>46.3</v>
      </c>
      <c r="T35" s="10">
        <f t="shared" si="8"/>
        <v>13</v>
      </c>
      <c r="U35" s="11">
        <v>4</v>
      </c>
      <c r="V35" s="10">
        <v>6</v>
      </c>
      <c r="W35" s="10">
        <v>4</v>
      </c>
      <c r="X35" s="10">
        <v>8</v>
      </c>
      <c r="Y35" s="10">
        <v>7</v>
      </c>
      <c r="Z35" s="10">
        <v>6</v>
      </c>
      <c r="AA35" s="10">
        <v>8</v>
      </c>
      <c r="AB35" s="10">
        <v>4</v>
      </c>
      <c r="AC35" s="10">
        <v>6</v>
      </c>
      <c r="AD35" s="10">
        <v>7</v>
      </c>
      <c r="AE35" s="10">
        <f t="shared" si="9"/>
        <v>6.75</v>
      </c>
      <c r="AF35" s="10">
        <f t="shared" si="10"/>
        <v>6</v>
      </c>
      <c r="AG35" s="10">
        <f t="shared" si="11"/>
        <v>5.25</v>
      </c>
      <c r="AH35" s="10">
        <f t="shared" si="12"/>
        <v>5</v>
      </c>
      <c r="AI35" s="10">
        <f t="shared" si="13"/>
        <v>5.7</v>
      </c>
      <c r="AJ35" s="10">
        <f t="shared" si="14"/>
        <v>7.3</v>
      </c>
      <c r="AK35" s="10">
        <f t="shared" si="15"/>
        <v>-2</v>
      </c>
      <c r="AL35" s="10">
        <f t="shared" si="16"/>
        <v>55</v>
      </c>
      <c r="AM35" s="10">
        <f t="shared" si="17"/>
        <v>10</v>
      </c>
      <c r="AN35" s="10" t="s">
        <v>72</v>
      </c>
      <c r="AO35" s="10">
        <f t="shared" si="18"/>
        <v>6.5</v>
      </c>
      <c r="AP35" s="10">
        <f t="shared" si="19"/>
        <v>5</v>
      </c>
      <c r="AQ35" s="10">
        <f t="shared" si="20"/>
        <v>5.375</v>
      </c>
      <c r="AR35" s="10">
        <f t="shared" si="21"/>
        <v>6.5</v>
      </c>
      <c r="AS35" s="10">
        <f t="shared" si="22"/>
        <v>53.1</v>
      </c>
      <c r="AT35" s="10">
        <f t="shared" si="23"/>
        <v>6</v>
      </c>
      <c r="AU35" s="10"/>
      <c r="AV35" s="10"/>
      <c r="AW35" s="10"/>
      <c r="AX35" s="10"/>
      <c r="AY35" s="10"/>
      <c r="AZ35" s="10"/>
      <c r="BA35" s="10" t="s">
        <v>219</v>
      </c>
      <c r="BB35" s="10"/>
      <c r="BC35" s="10">
        <f t="shared" si="24"/>
        <v>0</v>
      </c>
      <c r="BD35" s="10" t="e">
        <f t="shared" si="25"/>
        <v>#DIV/0!</v>
      </c>
      <c r="BE35" s="10" t="e">
        <f t="shared" si="26"/>
        <v>#DIV/0!</v>
      </c>
      <c r="BF35" s="8" t="e">
        <f t="shared" si="27"/>
        <v>#DIV/0!</v>
      </c>
      <c r="BG35" s="10">
        <f t="shared" si="28"/>
        <v>0</v>
      </c>
      <c r="BH35" s="10"/>
      <c r="BI35" s="10"/>
      <c r="BJ35" s="10" t="e">
        <f t="shared" si="29"/>
        <v>#DIV/0!</v>
      </c>
      <c r="BK35" s="10"/>
      <c r="BL35" s="3"/>
      <c r="BM35" s="3"/>
      <c r="BN35" s="3"/>
      <c r="BO35" s="3"/>
      <c r="BP35" s="10"/>
      <c r="BQ35" s="3"/>
      <c r="BR35" s="4" t="s">
        <v>123</v>
      </c>
      <c r="BS35" s="20" t="s">
        <v>72</v>
      </c>
    </row>
    <row r="36" spans="1:71" ht="40.799999999999997" customHeight="1" x14ac:dyDescent="0.3">
      <c r="A36" s="4" t="s">
        <v>6</v>
      </c>
      <c r="B36" s="10">
        <v>8</v>
      </c>
      <c r="C36" s="10">
        <v>6</v>
      </c>
      <c r="D36" s="10">
        <v>6</v>
      </c>
      <c r="E36" s="10">
        <v>7.5</v>
      </c>
      <c r="F36" s="10">
        <v>9</v>
      </c>
      <c r="G36" s="10">
        <v>7</v>
      </c>
      <c r="H36" s="10">
        <v>3</v>
      </c>
      <c r="I36" s="10">
        <v>4</v>
      </c>
      <c r="J36" s="10">
        <v>8</v>
      </c>
      <c r="K36" s="10">
        <v>5</v>
      </c>
      <c r="L36" s="10">
        <f t="shared" si="0"/>
        <v>7.375</v>
      </c>
      <c r="M36" s="10">
        <f t="shared" si="1"/>
        <v>5.5</v>
      </c>
      <c r="N36" s="10">
        <f t="shared" si="2"/>
        <v>5.75</v>
      </c>
      <c r="O36" s="10">
        <f t="shared" si="3"/>
        <v>6.5</v>
      </c>
      <c r="P36" s="10">
        <f t="shared" si="4"/>
        <v>7</v>
      </c>
      <c r="Q36" s="10">
        <f t="shared" si="5"/>
        <v>5.9</v>
      </c>
      <c r="R36" s="10">
        <f t="shared" si="6"/>
        <v>-0.5</v>
      </c>
      <c r="S36" s="10">
        <f t="shared" si="7"/>
        <v>58.5</v>
      </c>
      <c r="T36" s="10">
        <f t="shared" si="8"/>
        <v>7</v>
      </c>
      <c r="U36" s="11">
        <v>4</v>
      </c>
      <c r="V36" s="10">
        <v>5</v>
      </c>
      <c r="W36" s="10">
        <v>5</v>
      </c>
      <c r="X36" s="10">
        <v>7.5</v>
      </c>
      <c r="Y36" s="10">
        <v>6</v>
      </c>
      <c r="Z36" s="10">
        <v>7</v>
      </c>
      <c r="AA36" s="10">
        <v>4</v>
      </c>
      <c r="AB36" s="10">
        <v>4</v>
      </c>
      <c r="AC36" s="10">
        <v>7</v>
      </c>
      <c r="AD36" s="10">
        <v>5</v>
      </c>
      <c r="AE36" s="10">
        <f t="shared" si="9"/>
        <v>6.375</v>
      </c>
      <c r="AF36" s="10">
        <f t="shared" si="10"/>
        <v>4</v>
      </c>
      <c r="AG36" s="10">
        <f t="shared" si="11"/>
        <v>5.25</v>
      </c>
      <c r="AH36" s="10">
        <f t="shared" si="12"/>
        <v>6</v>
      </c>
      <c r="AI36" s="10">
        <f t="shared" si="13"/>
        <v>5.3</v>
      </c>
      <c r="AJ36" s="10">
        <f t="shared" si="14"/>
        <v>5.9</v>
      </c>
      <c r="AK36" s="10">
        <f t="shared" si="15"/>
        <v>6</v>
      </c>
      <c r="AL36" s="10">
        <f t="shared" si="16"/>
        <v>46</v>
      </c>
      <c r="AM36" s="10">
        <f t="shared" si="17"/>
        <v>12</v>
      </c>
      <c r="AN36" s="10" t="s">
        <v>175</v>
      </c>
      <c r="AO36" s="10">
        <f t="shared" si="18"/>
        <v>6.875</v>
      </c>
      <c r="AP36" s="10">
        <f t="shared" si="19"/>
        <v>4.75</v>
      </c>
      <c r="AQ36" s="10">
        <f t="shared" si="20"/>
        <v>5.5</v>
      </c>
      <c r="AR36" s="10">
        <f t="shared" si="21"/>
        <v>6.25</v>
      </c>
      <c r="AS36" s="10">
        <f t="shared" si="22"/>
        <v>52.3</v>
      </c>
      <c r="AT36" s="10">
        <f t="shared" si="23"/>
        <v>10</v>
      </c>
      <c r="AU36" s="10">
        <v>88</v>
      </c>
      <c r="AV36" s="10">
        <v>5269</v>
      </c>
      <c r="AW36" s="10">
        <v>160</v>
      </c>
      <c r="AX36" s="10">
        <v>111</v>
      </c>
      <c r="AY36" s="17">
        <v>45771</v>
      </c>
      <c r="AZ36" s="10" t="s">
        <v>203</v>
      </c>
      <c r="BA36" s="10" t="s">
        <v>25</v>
      </c>
      <c r="BB36" s="17">
        <v>46121</v>
      </c>
      <c r="BC36" s="10">
        <f t="shared" si="24"/>
        <v>350</v>
      </c>
      <c r="BD36" s="10">
        <f t="shared" si="25"/>
        <v>15.1</v>
      </c>
      <c r="BE36" s="10">
        <f t="shared" si="26"/>
        <v>3</v>
      </c>
      <c r="BF36" s="10">
        <f t="shared" si="27"/>
        <v>2.1</v>
      </c>
      <c r="BG36" s="10">
        <f t="shared" si="28"/>
        <v>0.78</v>
      </c>
      <c r="BH36" s="10">
        <v>74</v>
      </c>
      <c r="BI36" s="10" t="s">
        <v>223</v>
      </c>
      <c r="BJ36" s="10">
        <f t="shared" si="29"/>
        <v>11.778</v>
      </c>
      <c r="BK36" s="10" t="s">
        <v>135</v>
      </c>
      <c r="BL36" s="3" t="s">
        <v>335</v>
      </c>
      <c r="BM36" s="3" t="s">
        <v>239</v>
      </c>
      <c r="BN36" s="3" t="s">
        <v>240</v>
      </c>
      <c r="BO36" s="3" t="s">
        <v>241</v>
      </c>
      <c r="BP36" s="10" t="s">
        <v>226</v>
      </c>
      <c r="BQ36" s="3" t="s">
        <v>277</v>
      </c>
      <c r="BR36" s="4" t="s">
        <v>75</v>
      </c>
      <c r="BS36" s="19" t="s">
        <v>74</v>
      </c>
    </row>
    <row r="37" spans="1:71" ht="30.6" customHeight="1" x14ac:dyDescent="0.3">
      <c r="A37" s="4" t="s">
        <v>1</v>
      </c>
      <c r="B37" s="10">
        <v>10</v>
      </c>
      <c r="C37" s="10">
        <v>6</v>
      </c>
      <c r="D37" s="10">
        <v>7</v>
      </c>
      <c r="E37" s="10">
        <v>6.5</v>
      </c>
      <c r="F37" s="10">
        <v>7</v>
      </c>
      <c r="G37" s="10">
        <v>5</v>
      </c>
      <c r="H37" s="10">
        <v>3</v>
      </c>
      <c r="I37" s="10">
        <v>4</v>
      </c>
      <c r="J37" s="10">
        <v>4</v>
      </c>
      <c r="K37" s="10">
        <v>3</v>
      </c>
      <c r="L37" s="10">
        <f t="shared" si="0"/>
        <v>6.125</v>
      </c>
      <c r="M37" s="10">
        <f t="shared" si="1"/>
        <v>6.5</v>
      </c>
      <c r="N37" s="10">
        <f t="shared" si="2"/>
        <v>4.5</v>
      </c>
      <c r="O37" s="10">
        <f t="shared" si="3"/>
        <v>6</v>
      </c>
      <c r="P37" s="10">
        <f t="shared" si="4"/>
        <v>6.7</v>
      </c>
      <c r="Q37" s="10">
        <f t="shared" si="5"/>
        <v>4.0999999999999996</v>
      </c>
      <c r="R37" s="10">
        <f t="shared" si="6"/>
        <v>10</v>
      </c>
      <c r="S37" s="10">
        <f t="shared" si="7"/>
        <v>51</v>
      </c>
      <c r="T37" s="10">
        <f t="shared" si="8"/>
        <v>12</v>
      </c>
      <c r="U37" s="11">
        <v>9</v>
      </c>
      <c r="V37" s="10">
        <v>6</v>
      </c>
      <c r="W37" s="10">
        <v>6</v>
      </c>
      <c r="X37" s="10">
        <v>6</v>
      </c>
      <c r="Y37" s="10">
        <v>8</v>
      </c>
      <c r="Z37" s="10">
        <v>5</v>
      </c>
      <c r="AA37" s="10">
        <v>3</v>
      </c>
      <c r="AB37" s="10">
        <v>3</v>
      </c>
      <c r="AC37" s="10">
        <v>5</v>
      </c>
      <c r="AD37" s="10">
        <v>3</v>
      </c>
      <c r="AE37" s="10">
        <f t="shared" si="9"/>
        <v>6.25</v>
      </c>
      <c r="AF37" s="10">
        <f t="shared" si="10"/>
        <v>6</v>
      </c>
      <c r="AG37" s="10">
        <f t="shared" si="11"/>
        <v>4.25</v>
      </c>
      <c r="AH37" s="10">
        <f t="shared" si="12"/>
        <v>5.5</v>
      </c>
      <c r="AI37" s="10">
        <f t="shared" si="13"/>
        <v>6.7</v>
      </c>
      <c r="AJ37" s="10">
        <f t="shared" si="14"/>
        <v>4.3</v>
      </c>
      <c r="AK37" s="10">
        <f t="shared" si="15"/>
        <v>5.7999999999999972</v>
      </c>
      <c r="AL37" s="10">
        <f t="shared" si="16"/>
        <v>48.8</v>
      </c>
      <c r="AM37" s="10">
        <f t="shared" si="17"/>
        <v>13</v>
      </c>
      <c r="AN37" s="10" t="s">
        <v>175</v>
      </c>
      <c r="AO37" s="10">
        <f t="shared" si="18"/>
        <v>6.1875</v>
      </c>
      <c r="AP37" s="10">
        <f t="shared" si="19"/>
        <v>6.25</v>
      </c>
      <c r="AQ37" s="10">
        <f t="shared" si="20"/>
        <v>4.375</v>
      </c>
      <c r="AR37" s="10">
        <f t="shared" si="21"/>
        <v>5.75</v>
      </c>
      <c r="AS37" s="10">
        <f t="shared" si="22"/>
        <v>49.9</v>
      </c>
      <c r="AT37" s="10">
        <f t="shared" si="23"/>
        <v>12</v>
      </c>
      <c r="AU37" s="10">
        <v>12</v>
      </c>
      <c r="AV37" s="10">
        <v>2308</v>
      </c>
      <c r="AW37" s="10">
        <v>227</v>
      </c>
      <c r="AX37" s="10">
        <v>44</v>
      </c>
      <c r="AY37" s="17">
        <v>45672</v>
      </c>
      <c r="AZ37" s="10" t="s">
        <v>201</v>
      </c>
      <c r="BA37" s="10" t="s">
        <v>286</v>
      </c>
      <c r="BB37" s="17">
        <v>46121</v>
      </c>
      <c r="BC37" s="10">
        <f t="shared" si="24"/>
        <v>449</v>
      </c>
      <c r="BD37" s="10">
        <f t="shared" si="25"/>
        <v>5.0999999999999996</v>
      </c>
      <c r="BE37" s="10">
        <f t="shared" si="26"/>
        <v>9.8000000000000007</v>
      </c>
      <c r="BF37" s="10">
        <f t="shared" si="27"/>
        <v>1.9</v>
      </c>
      <c r="BG37" s="10">
        <f t="shared" si="28"/>
        <v>0.88</v>
      </c>
      <c r="BH37" s="10">
        <v>58</v>
      </c>
      <c r="BI37" s="10" t="s">
        <v>223</v>
      </c>
      <c r="BJ37" s="10">
        <f t="shared" si="29"/>
        <v>4.4879999999999995</v>
      </c>
      <c r="BK37" s="10" t="s">
        <v>135</v>
      </c>
      <c r="BL37" s="3" t="s">
        <v>353</v>
      </c>
      <c r="BM37" s="3" t="s">
        <v>358</v>
      </c>
      <c r="BN37" s="3" t="s">
        <v>270</v>
      </c>
      <c r="BO37" s="3" t="s">
        <v>354</v>
      </c>
      <c r="BP37" s="10" t="s">
        <v>286</v>
      </c>
      <c r="BQ37" s="3" t="s">
        <v>291</v>
      </c>
      <c r="BR37" s="4" t="s">
        <v>64</v>
      </c>
      <c r="BS37" s="19" t="s">
        <v>97</v>
      </c>
    </row>
    <row r="38" spans="1:71" ht="28.2" customHeight="1" x14ac:dyDescent="0.3">
      <c r="A38" s="4" t="s">
        <v>9</v>
      </c>
      <c r="B38" s="10">
        <v>3</v>
      </c>
      <c r="C38" s="10">
        <v>4</v>
      </c>
      <c r="D38" s="10">
        <v>6</v>
      </c>
      <c r="E38" s="10">
        <v>7</v>
      </c>
      <c r="F38" s="10">
        <v>5</v>
      </c>
      <c r="G38" s="10">
        <v>6</v>
      </c>
      <c r="H38" s="10">
        <v>5</v>
      </c>
      <c r="I38" s="10">
        <v>5</v>
      </c>
      <c r="J38" s="10">
        <v>5</v>
      </c>
      <c r="K38" s="10">
        <v>5</v>
      </c>
      <c r="L38" s="10">
        <f t="shared" si="0"/>
        <v>5.5</v>
      </c>
      <c r="M38" s="10">
        <f t="shared" si="1"/>
        <v>4</v>
      </c>
      <c r="N38" s="10">
        <f t="shared" si="2"/>
        <v>5.25</v>
      </c>
      <c r="O38" s="10">
        <f t="shared" si="3"/>
        <v>6</v>
      </c>
      <c r="P38" s="10">
        <f t="shared" si="4"/>
        <v>5</v>
      </c>
      <c r="Q38" s="10">
        <f t="shared" si="5"/>
        <v>5.5</v>
      </c>
      <c r="R38" s="10">
        <f t="shared" si="6"/>
        <v>14.600000000000001</v>
      </c>
      <c r="S38" s="10">
        <f t="shared" si="7"/>
        <v>44.6</v>
      </c>
      <c r="T38" s="10">
        <f t="shared" si="8"/>
        <v>9</v>
      </c>
      <c r="U38" s="11">
        <v>7</v>
      </c>
      <c r="V38" s="10">
        <v>4</v>
      </c>
      <c r="W38" s="10">
        <v>4</v>
      </c>
      <c r="X38" s="10">
        <v>6</v>
      </c>
      <c r="Y38" s="10">
        <v>5</v>
      </c>
      <c r="Z38" s="10">
        <v>5</v>
      </c>
      <c r="AA38" s="10">
        <v>4</v>
      </c>
      <c r="AB38" s="10">
        <v>5</v>
      </c>
      <c r="AC38" s="10">
        <v>5</v>
      </c>
      <c r="AD38" s="10">
        <v>5</v>
      </c>
      <c r="AE38" s="10">
        <f t="shared" si="9"/>
        <v>5</v>
      </c>
      <c r="AF38" s="10">
        <f t="shared" si="10"/>
        <v>5.5</v>
      </c>
      <c r="AG38" s="10">
        <f t="shared" si="11"/>
        <v>4.75</v>
      </c>
      <c r="AH38" s="10">
        <f t="shared" si="12"/>
        <v>4.5</v>
      </c>
      <c r="AI38" s="10">
        <f t="shared" si="13"/>
        <v>4.3</v>
      </c>
      <c r="AJ38" s="10">
        <f t="shared" si="14"/>
        <v>5</v>
      </c>
      <c r="AK38" s="10">
        <f t="shared" si="15"/>
        <v>4.8999999999999986</v>
      </c>
      <c r="AL38" s="10">
        <f t="shared" si="16"/>
        <v>47.9</v>
      </c>
      <c r="AM38" s="10">
        <f t="shared" si="17"/>
        <v>6</v>
      </c>
      <c r="AN38" s="10" t="s">
        <v>175</v>
      </c>
      <c r="AO38" s="10">
        <f t="shared" si="18"/>
        <v>5.25</v>
      </c>
      <c r="AP38" s="10">
        <f t="shared" si="19"/>
        <v>4.75</v>
      </c>
      <c r="AQ38" s="10">
        <f t="shared" si="20"/>
        <v>5</v>
      </c>
      <c r="AR38" s="10">
        <f t="shared" si="21"/>
        <v>5.25</v>
      </c>
      <c r="AS38" s="10">
        <f t="shared" si="22"/>
        <v>48.8</v>
      </c>
      <c r="AT38" s="10">
        <f t="shared" si="23"/>
        <v>3</v>
      </c>
      <c r="AU38" s="10">
        <v>143</v>
      </c>
      <c r="AV38" s="10">
        <v>42057</v>
      </c>
      <c r="AW38" s="10">
        <v>862</v>
      </c>
      <c r="AX38" s="10">
        <v>231</v>
      </c>
      <c r="AY38" s="17">
        <v>42396</v>
      </c>
      <c r="AZ38" s="10" t="s">
        <v>366</v>
      </c>
      <c r="BA38" s="10" t="s">
        <v>25</v>
      </c>
      <c r="BB38" s="17">
        <v>46121</v>
      </c>
      <c r="BC38" s="10">
        <f t="shared" si="24"/>
        <v>3725</v>
      </c>
      <c r="BD38" s="10">
        <f t="shared" si="25"/>
        <v>11.3</v>
      </c>
      <c r="BE38" s="10">
        <f t="shared" si="26"/>
        <v>2</v>
      </c>
      <c r="BF38" s="10">
        <f t="shared" si="27"/>
        <v>0.5</v>
      </c>
      <c r="BG38" s="10">
        <f t="shared" si="28"/>
        <v>1</v>
      </c>
      <c r="BH38" s="10">
        <v>65</v>
      </c>
      <c r="BI38" s="10" t="s">
        <v>223</v>
      </c>
      <c r="BJ38" s="10">
        <f t="shared" si="29"/>
        <v>11.3</v>
      </c>
      <c r="BK38" s="10" t="s">
        <v>135</v>
      </c>
      <c r="BL38" s="3" t="s">
        <v>365</v>
      </c>
      <c r="BM38" s="3" t="s">
        <v>254</v>
      </c>
      <c r="BN38" s="3" t="s">
        <v>255</v>
      </c>
      <c r="BO38" s="3" t="s">
        <v>256</v>
      </c>
      <c r="BP38" s="10" t="s">
        <v>226</v>
      </c>
      <c r="BQ38" s="3" t="s">
        <v>284</v>
      </c>
      <c r="BR38" s="4" t="s">
        <v>89</v>
      </c>
      <c r="BS38" s="19" t="s">
        <v>88</v>
      </c>
    </row>
    <row r="39" spans="1:71" ht="30" customHeight="1" x14ac:dyDescent="0.3">
      <c r="A39" s="4" t="s">
        <v>127</v>
      </c>
      <c r="B39" s="10">
        <v>7</v>
      </c>
      <c r="C39" s="10">
        <v>6</v>
      </c>
      <c r="D39" s="10">
        <v>5</v>
      </c>
      <c r="E39" s="10">
        <v>6.5</v>
      </c>
      <c r="F39" s="10">
        <v>6</v>
      </c>
      <c r="G39" s="10">
        <v>5</v>
      </c>
      <c r="H39" s="10">
        <v>3</v>
      </c>
      <c r="I39" s="10">
        <v>4</v>
      </c>
      <c r="J39" s="10">
        <v>4</v>
      </c>
      <c r="K39" s="10">
        <v>3</v>
      </c>
      <c r="L39" s="10">
        <f t="shared" si="0"/>
        <v>5.875</v>
      </c>
      <c r="M39" s="10">
        <f t="shared" si="1"/>
        <v>5</v>
      </c>
      <c r="N39" s="10">
        <f t="shared" si="2"/>
        <v>4</v>
      </c>
      <c r="O39" s="10">
        <f t="shared" si="3"/>
        <v>5</v>
      </c>
      <c r="P39" s="10">
        <f t="shared" si="4"/>
        <v>5.7</v>
      </c>
      <c r="Q39" s="10">
        <f t="shared" si="5"/>
        <v>4.0999999999999996</v>
      </c>
      <c r="R39" s="10">
        <f t="shared" si="6"/>
        <v>3.7999999999999972</v>
      </c>
      <c r="S39" s="10">
        <f t="shared" si="7"/>
        <v>44.8</v>
      </c>
      <c r="T39" s="10">
        <f t="shared" si="8"/>
        <v>10</v>
      </c>
      <c r="U39" s="11">
        <v>7</v>
      </c>
      <c r="V39" s="10">
        <v>6</v>
      </c>
      <c r="W39" s="10">
        <v>6</v>
      </c>
      <c r="X39" s="10">
        <v>6</v>
      </c>
      <c r="Y39" s="10">
        <v>6</v>
      </c>
      <c r="Z39" s="10">
        <v>5</v>
      </c>
      <c r="AA39" s="10">
        <v>3</v>
      </c>
      <c r="AB39" s="10">
        <v>4</v>
      </c>
      <c r="AC39" s="10">
        <v>4</v>
      </c>
      <c r="AD39" s="10">
        <v>3</v>
      </c>
      <c r="AE39" s="10">
        <f t="shared" si="9"/>
        <v>5.75</v>
      </c>
      <c r="AF39" s="10">
        <f t="shared" si="10"/>
        <v>5</v>
      </c>
      <c r="AG39" s="10">
        <f t="shared" si="11"/>
        <v>4.25</v>
      </c>
      <c r="AH39" s="10">
        <f t="shared" si="12"/>
        <v>5.5</v>
      </c>
      <c r="AI39" s="10">
        <f t="shared" si="13"/>
        <v>6</v>
      </c>
      <c r="AJ39" s="10">
        <f t="shared" si="14"/>
        <v>4</v>
      </c>
      <c r="AK39" s="10">
        <f t="shared" si="15"/>
        <v>6.2999999999999972</v>
      </c>
      <c r="AL39" s="10">
        <f t="shared" si="16"/>
        <v>46.3</v>
      </c>
      <c r="AM39" s="10">
        <f t="shared" si="17"/>
        <v>8</v>
      </c>
      <c r="AN39" s="10" t="s">
        <v>175</v>
      </c>
      <c r="AO39" s="10">
        <f t="shared" si="18"/>
        <v>5.8125</v>
      </c>
      <c r="AP39" s="10">
        <f t="shared" si="19"/>
        <v>5</v>
      </c>
      <c r="AQ39" s="10">
        <f t="shared" si="20"/>
        <v>4.125</v>
      </c>
      <c r="AR39" s="10">
        <f t="shared" si="21"/>
        <v>5.25</v>
      </c>
      <c r="AS39" s="10">
        <f t="shared" si="22"/>
        <v>45.5</v>
      </c>
      <c r="AT39" s="10">
        <f t="shared" si="23"/>
        <v>9</v>
      </c>
      <c r="AU39" s="10">
        <v>24</v>
      </c>
      <c r="AV39" s="10">
        <v>9350</v>
      </c>
      <c r="AW39" s="10">
        <v>437</v>
      </c>
      <c r="AX39" s="10">
        <v>99</v>
      </c>
      <c r="AY39" s="17">
        <v>43887</v>
      </c>
      <c r="AZ39" s="10" t="s">
        <v>201</v>
      </c>
      <c r="BA39" s="10" t="s">
        <v>286</v>
      </c>
      <c r="BB39" s="17">
        <v>46121</v>
      </c>
      <c r="BC39" s="10">
        <f t="shared" si="24"/>
        <v>2234</v>
      </c>
      <c r="BD39" s="10">
        <f t="shared" si="25"/>
        <v>4.2</v>
      </c>
      <c r="BE39" s="10">
        <f t="shared" si="26"/>
        <v>4.7</v>
      </c>
      <c r="BF39" s="10">
        <f t="shared" si="27"/>
        <v>1.1000000000000001</v>
      </c>
      <c r="BG39" s="10">
        <f t="shared" si="28"/>
        <v>1</v>
      </c>
      <c r="BH39" s="10">
        <v>71</v>
      </c>
      <c r="BI39" s="10" t="s">
        <v>223</v>
      </c>
      <c r="BJ39" s="10">
        <f t="shared" si="29"/>
        <v>4.2</v>
      </c>
      <c r="BK39" s="10" t="s">
        <v>135</v>
      </c>
      <c r="BL39" s="3" t="s">
        <v>355</v>
      </c>
      <c r="BM39" s="3" t="s">
        <v>298</v>
      </c>
      <c r="BN39" s="3" t="s">
        <v>356</v>
      </c>
      <c r="BO39" s="3" t="s">
        <v>357</v>
      </c>
      <c r="BP39" s="10" t="s">
        <v>286</v>
      </c>
      <c r="BQ39" s="3" t="s">
        <v>305</v>
      </c>
      <c r="BR39" s="4" t="s">
        <v>107</v>
      </c>
      <c r="BS39" s="19" t="s">
        <v>106</v>
      </c>
    </row>
    <row r="40" spans="1:71" ht="27.6" customHeight="1" x14ac:dyDescent="0.3">
      <c r="A40" s="4" t="s">
        <v>11</v>
      </c>
      <c r="B40" s="10">
        <v>0</v>
      </c>
      <c r="C40" s="10">
        <v>6</v>
      </c>
      <c r="D40" s="10">
        <v>3</v>
      </c>
      <c r="E40" s="10">
        <v>8</v>
      </c>
      <c r="F40" s="10">
        <v>7</v>
      </c>
      <c r="G40" s="10">
        <v>7</v>
      </c>
      <c r="H40" s="10">
        <v>5</v>
      </c>
      <c r="I40" s="10">
        <v>7</v>
      </c>
      <c r="J40" s="10">
        <v>7</v>
      </c>
      <c r="K40" s="10">
        <v>8</v>
      </c>
      <c r="L40" s="10">
        <f t="shared" si="0"/>
        <v>7</v>
      </c>
      <c r="M40" s="10">
        <f t="shared" si="1"/>
        <v>2.5</v>
      </c>
      <c r="N40" s="10">
        <f t="shared" si="2"/>
        <v>6.25</v>
      </c>
      <c r="O40" s="10">
        <f t="shared" si="3"/>
        <v>5</v>
      </c>
      <c r="P40" s="10">
        <f t="shared" si="4"/>
        <v>5.3</v>
      </c>
      <c r="Q40" s="10">
        <f t="shared" si="5"/>
        <v>7</v>
      </c>
      <c r="R40" s="10">
        <f t="shared" si="6"/>
        <v>38.799999999999997</v>
      </c>
      <c r="S40" s="10">
        <f t="shared" si="7"/>
        <v>38.799999999999997</v>
      </c>
      <c r="T40" s="10">
        <f t="shared" si="8"/>
        <v>28</v>
      </c>
      <c r="U40" s="11">
        <v>2</v>
      </c>
      <c r="V40" s="10">
        <v>6</v>
      </c>
      <c r="W40" s="10">
        <v>0</v>
      </c>
      <c r="X40" s="10">
        <v>7</v>
      </c>
      <c r="Y40" s="10">
        <v>7</v>
      </c>
      <c r="Z40" s="10">
        <v>5</v>
      </c>
      <c r="AA40" s="10">
        <v>8</v>
      </c>
      <c r="AB40" s="10">
        <v>6</v>
      </c>
      <c r="AC40" s="10">
        <v>6</v>
      </c>
      <c r="AD40" s="10">
        <v>8</v>
      </c>
      <c r="AE40" s="10">
        <f t="shared" si="9"/>
        <v>6.25</v>
      </c>
      <c r="AF40" s="10">
        <f t="shared" si="10"/>
        <v>5</v>
      </c>
      <c r="AG40" s="10">
        <f t="shared" si="11"/>
        <v>5</v>
      </c>
      <c r="AH40" s="10">
        <f t="shared" si="12"/>
        <v>2.5</v>
      </c>
      <c r="AI40" s="10">
        <f t="shared" si="13"/>
        <v>4.3</v>
      </c>
      <c r="AJ40" s="10">
        <f t="shared" si="14"/>
        <v>7.3</v>
      </c>
      <c r="AK40" s="10">
        <f t="shared" si="15"/>
        <v>-3.3999999999999986</v>
      </c>
      <c r="AL40" s="10">
        <f t="shared" si="16"/>
        <v>39.6</v>
      </c>
      <c r="AM40" s="10">
        <f t="shared" si="17"/>
        <v>29</v>
      </c>
      <c r="AN40" s="10" t="s">
        <v>175</v>
      </c>
      <c r="AO40" s="10">
        <f t="shared" si="18"/>
        <v>6.625</v>
      </c>
      <c r="AP40" s="10">
        <f t="shared" si="19"/>
        <v>3.75</v>
      </c>
      <c r="AQ40" s="10">
        <f t="shared" si="20"/>
        <v>5.625</v>
      </c>
      <c r="AR40" s="10">
        <f t="shared" si="21"/>
        <v>3.75</v>
      </c>
      <c r="AS40" s="10">
        <f t="shared" si="22"/>
        <v>45.4</v>
      </c>
      <c r="AT40" s="10">
        <f t="shared" si="23"/>
        <v>16</v>
      </c>
      <c r="AU40" s="10">
        <v>150</v>
      </c>
      <c r="AV40" s="10">
        <v>76568</v>
      </c>
      <c r="AW40" s="10">
        <v>2780</v>
      </c>
      <c r="AX40" s="10">
        <v>927</v>
      </c>
      <c r="AY40" s="17">
        <v>43143</v>
      </c>
      <c r="AZ40" s="10" t="s">
        <v>367</v>
      </c>
      <c r="BA40" s="10" t="s">
        <v>25</v>
      </c>
      <c r="BB40" s="17">
        <v>46121</v>
      </c>
      <c r="BC40" s="10">
        <f t="shared" si="24"/>
        <v>2978</v>
      </c>
      <c r="BD40" s="10">
        <f t="shared" si="25"/>
        <v>25.7</v>
      </c>
      <c r="BE40" s="10">
        <f t="shared" si="26"/>
        <v>3.6</v>
      </c>
      <c r="BF40" s="10">
        <f t="shared" si="27"/>
        <v>1.2</v>
      </c>
      <c r="BG40" s="10">
        <f t="shared" si="28"/>
        <v>1</v>
      </c>
      <c r="BH40" s="10">
        <v>59</v>
      </c>
      <c r="BI40" s="10" t="s">
        <v>223</v>
      </c>
      <c r="BJ40" s="10">
        <f t="shared" si="29"/>
        <v>25.7</v>
      </c>
      <c r="BK40" s="10" t="s">
        <v>235</v>
      </c>
      <c r="BL40" s="3" t="s">
        <v>368</v>
      </c>
      <c r="BM40" s="3" t="s">
        <v>294</v>
      </c>
      <c r="BN40" s="3" t="s">
        <v>348</v>
      </c>
      <c r="BO40" s="3" t="s">
        <v>349</v>
      </c>
      <c r="BP40" s="10" t="s">
        <v>226</v>
      </c>
      <c r="BQ40" s="3" t="s">
        <v>304</v>
      </c>
      <c r="BR40" s="4" t="s">
        <v>101</v>
      </c>
      <c r="BS40" s="19" t="s">
        <v>100</v>
      </c>
    </row>
    <row r="41" spans="1:71" ht="42.6" customHeight="1" x14ac:dyDescent="0.3">
      <c r="A41" s="4" t="s">
        <v>28</v>
      </c>
      <c r="B41" s="10">
        <v>3</v>
      </c>
      <c r="C41" s="10">
        <v>7</v>
      </c>
      <c r="D41" s="10">
        <v>7</v>
      </c>
      <c r="E41" s="10">
        <v>8</v>
      </c>
      <c r="F41" s="10">
        <v>0</v>
      </c>
      <c r="G41" s="10">
        <v>8</v>
      </c>
      <c r="H41" s="10">
        <v>1</v>
      </c>
      <c r="I41" s="10">
        <v>7</v>
      </c>
      <c r="J41" s="10">
        <v>10</v>
      </c>
      <c r="K41" s="10">
        <v>4</v>
      </c>
      <c r="L41" s="10">
        <f t="shared" si="0"/>
        <v>5.75</v>
      </c>
      <c r="M41" s="10">
        <f t="shared" si="1"/>
        <v>2</v>
      </c>
      <c r="N41" s="10">
        <f t="shared" si="2"/>
        <v>7</v>
      </c>
      <c r="O41" s="10">
        <f t="shared" si="3"/>
        <v>7.5</v>
      </c>
      <c r="P41" s="10">
        <f t="shared" si="4"/>
        <v>4.7</v>
      </c>
      <c r="Q41" s="10">
        <f t="shared" si="5"/>
        <v>5.8</v>
      </c>
      <c r="R41" s="10">
        <f t="shared" si="6"/>
        <v>4.6000000000000014</v>
      </c>
      <c r="S41" s="10">
        <f t="shared" si="7"/>
        <v>34.6</v>
      </c>
      <c r="T41" s="10">
        <f t="shared" si="8"/>
        <v>29</v>
      </c>
      <c r="U41" s="11">
        <v>1</v>
      </c>
      <c r="V41" s="10">
        <v>4</v>
      </c>
      <c r="W41" s="10">
        <v>1</v>
      </c>
      <c r="X41" s="10">
        <v>8</v>
      </c>
      <c r="Y41" s="10">
        <v>8</v>
      </c>
      <c r="Z41" s="10">
        <v>8</v>
      </c>
      <c r="AA41" s="10">
        <v>8</v>
      </c>
      <c r="AB41" s="10">
        <v>2</v>
      </c>
      <c r="AC41" s="10">
        <v>9</v>
      </c>
      <c r="AD41" s="10">
        <v>8</v>
      </c>
      <c r="AE41" s="10">
        <f t="shared" si="9"/>
        <v>7</v>
      </c>
      <c r="AF41" s="10">
        <f t="shared" si="10"/>
        <v>4.5</v>
      </c>
      <c r="AG41" s="10">
        <f t="shared" si="11"/>
        <v>5</v>
      </c>
      <c r="AH41" s="10">
        <f t="shared" si="12"/>
        <v>4.5</v>
      </c>
      <c r="AI41" s="10">
        <f t="shared" si="13"/>
        <v>4.3</v>
      </c>
      <c r="AJ41" s="10">
        <f t="shared" si="14"/>
        <v>8.3000000000000007</v>
      </c>
      <c r="AK41" s="10">
        <f t="shared" si="15"/>
        <v>7</v>
      </c>
      <c r="AL41" s="10">
        <f t="shared" si="16"/>
        <v>50</v>
      </c>
      <c r="AM41" s="10">
        <f t="shared" si="17"/>
        <v>10</v>
      </c>
      <c r="AN41" s="10" t="s">
        <v>72</v>
      </c>
      <c r="AO41" s="10">
        <f t="shared" si="18"/>
        <v>6.375</v>
      </c>
      <c r="AP41" s="10">
        <f t="shared" si="19"/>
        <v>3.25</v>
      </c>
      <c r="AQ41" s="10">
        <f t="shared" si="20"/>
        <v>6</v>
      </c>
      <c r="AR41" s="10">
        <f t="shared" si="21"/>
        <v>6</v>
      </c>
      <c r="AS41" s="10">
        <f t="shared" si="22"/>
        <v>42.3</v>
      </c>
      <c r="AT41" s="10">
        <f t="shared" si="23"/>
        <v>20</v>
      </c>
      <c r="AU41" s="10"/>
      <c r="AV41" s="10"/>
      <c r="AW41" s="10"/>
      <c r="AX41" s="10"/>
      <c r="AY41" s="10"/>
      <c r="AZ41" s="10"/>
      <c r="BA41" s="10" t="s">
        <v>219</v>
      </c>
      <c r="BB41" s="10"/>
      <c r="BC41" s="10">
        <f t="shared" si="24"/>
        <v>0</v>
      </c>
      <c r="BD41" s="10" t="e">
        <f t="shared" si="25"/>
        <v>#DIV/0!</v>
      </c>
      <c r="BE41" s="10" t="e">
        <f t="shared" si="26"/>
        <v>#DIV/0!</v>
      </c>
      <c r="BF41" s="8" t="e">
        <f t="shared" si="27"/>
        <v>#DIV/0!</v>
      </c>
      <c r="BG41" s="10">
        <f t="shared" si="28"/>
        <v>0</v>
      </c>
      <c r="BH41" s="10"/>
      <c r="BI41" s="10"/>
      <c r="BJ41" s="10" t="e">
        <f t="shared" si="29"/>
        <v>#DIV/0!</v>
      </c>
      <c r="BK41" s="10"/>
      <c r="BL41" s="3"/>
      <c r="BM41" s="3"/>
      <c r="BN41" s="3"/>
      <c r="BO41" s="3"/>
      <c r="BP41" s="10"/>
      <c r="BQ41" s="3"/>
      <c r="BR41" s="4" t="s">
        <v>122</v>
      </c>
      <c r="BS41" s="20" t="s">
        <v>72</v>
      </c>
    </row>
    <row r="42" spans="1:71" ht="28.2" customHeight="1" x14ac:dyDescent="0.3">
      <c r="A42" s="4" t="s">
        <v>10</v>
      </c>
      <c r="B42" s="10">
        <v>2</v>
      </c>
      <c r="C42" s="10">
        <v>5</v>
      </c>
      <c r="D42" s="10">
        <v>5</v>
      </c>
      <c r="E42" s="10">
        <v>7</v>
      </c>
      <c r="F42" s="10">
        <v>6</v>
      </c>
      <c r="G42" s="10">
        <v>6</v>
      </c>
      <c r="H42" s="10">
        <v>5</v>
      </c>
      <c r="I42" s="10">
        <v>5</v>
      </c>
      <c r="J42" s="10">
        <v>6</v>
      </c>
      <c r="K42" s="10">
        <v>8</v>
      </c>
      <c r="L42" s="10">
        <f t="shared" si="0"/>
        <v>6</v>
      </c>
      <c r="M42" s="10">
        <f t="shared" si="1"/>
        <v>3.5</v>
      </c>
      <c r="N42" s="10">
        <f t="shared" si="2"/>
        <v>6</v>
      </c>
      <c r="O42" s="10">
        <f t="shared" si="3"/>
        <v>5.5</v>
      </c>
      <c r="P42" s="10">
        <f t="shared" si="4"/>
        <v>5.3</v>
      </c>
      <c r="Q42" s="10">
        <f t="shared" si="5"/>
        <v>6.5</v>
      </c>
      <c r="R42" s="10">
        <f t="shared" si="6"/>
        <v>23.299999999999997</v>
      </c>
      <c r="S42" s="10">
        <f t="shared" si="7"/>
        <v>43.3</v>
      </c>
      <c r="T42" s="10">
        <f t="shared" si="8"/>
        <v>17</v>
      </c>
      <c r="U42" s="11">
        <v>2</v>
      </c>
      <c r="V42" s="10">
        <v>7</v>
      </c>
      <c r="W42" s="10">
        <v>4</v>
      </c>
      <c r="X42" s="10">
        <v>6</v>
      </c>
      <c r="Y42" s="10">
        <v>6</v>
      </c>
      <c r="Z42" s="10">
        <v>8</v>
      </c>
      <c r="AA42" s="10">
        <v>4</v>
      </c>
      <c r="AB42" s="10">
        <v>6</v>
      </c>
      <c r="AC42" s="10">
        <v>6</v>
      </c>
      <c r="AD42" s="10">
        <v>8</v>
      </c>
      <c r="AE42" s="10">
        <f t="shared" si="9"/>
        <v>6.75</v>
      </c>
      <c r="AF42" s="10">
        <f t="shared" si="10"/>
        <v>3</v>
      </c>
      <c r="AG42" s="10">
        <f t="shared" si="11"/>
        <v>6</v>
      </c>
      <c r="AH42" s="10">
        <f t="shared" si="12"/>
        <v>6</v>
      </c>
      <c r="AI42" s="10">
        <f t="shared" si="13"/>
        <v>5.7</v>
      </c>
      <c r="AJ42" s="10">
        <f t="shared" si="14"/>
        <v>6</v>
      </c>
      <c r="AK42" s="10">
        <f t="shared" si="15"/>
        <v>11.299999999999997</v>
      </c>
      <c r="AL42" s="10">
        <f t="shared" si="16"/>
        <v>41.3</v>
      </c>
      <c r="AM42" s="10">
        <f t="shared" si="17"/>
        <v>23</v>
      </c>
      <c r="AN42" s="10" t="s">
        <v>175</v>
      </c>
      <c r="AO42" s="10">
        <f t="shared" si="18"/>
        <v>6.375</v>
      </c>
      <c r="AP42" s="10">
        <f t="shared" si="19"/>
        <v>3.25</v>
      </c>
      <c r="AQ42" s="10">
        <f t="shared" si="20"/>
        <v>6</v>
      </c>
      <c r="AR42" s="10">
        <f t="shared" si="21"/>
        <v>5.75</v>
      </c>
      <c r="AS42" s="10">
        <f t="shared" si="22"/>
        <v>42.3</v>
      </c>
      <c r="AT42" s="10">
        <f t="shared" si="23"/>
        <v>20</v>
      </c>
      <c r="AU42" s="10">
        <v>144</v>
      </c>
      <c r="AV42" s="10">
        <v>40283</v>
      </c>
      <c r="AW42" s="10">
        <v>1417</v>
      </c>
      <c r="AX42" s="10">
        <v>399</v>
      </c>
      <c r="AY42" s="17">
        <v>42771</v>
      </c>
      <c r="AZ42" s="10" t="s">
        <v>201</v>
      </c>
      <c r="BA42" s="10" t="s">
        <v>27</v>
      </c>
      <c r="BB42" s="17">
        <v>46121</v>
      </c>
      <c r="BC42" s="10">
        <f t="shared" si="24"/>
        <v>3350</v>
      </c>
      <c r="BD42" s="10">
        <f t="shared" si="25"/>
        <v>12</v>
      </c>
      <c r="BE42" s="10">
        <f t="shared" si="26"/>
        <v>3.5</v>
      </c>
      <c r="BF42" s="10">
        <f t="shared" si="27"/>
        <v>1</v>
      </c>
      <c r="BG42" s="10">
        <f t="shared" si="28"/>
        <v>1</v>
      </c>
      <c r="BH42" s="10">
        <v>72</v>
      </c>
      <c r="BI42" s="10" t="s">
        <v>223</v>
      </c>
      <c r="BJ42" s="10">
        <f t="shared" si="29"/>
        <v>12</v>
      </c>
      <c r="BK42" s="10" t="s">
        <v>135</v>
      </c>
      <c r="BL42" s="3" t="s">
        <v>376</v>
      </c>
      <c r="BM42" s="3" t="s">
        <v>264</v>
      </c>
      <c r="BN42" s="3" t="s">
        <v>265</v>
      </c>
      <c r="BO42" s="3" t="s">
        <v>266</v>
      </c>
      <c r="BP42" s="10" t="s">
        <v>229</v>
      </c>
      <c r="BQ42" s="3" t="s">
        <v>289</v>
      </c>
      <c r="BR42" s="4" t="s">
        <v>94</v>
      </c>
      <c r="BS42" s="19" t="s">
        <v>93</v>
      </c>
    </row>
    <row r="43" spans="1:71" ht="28.8" customHeight="1" x14ac:dyDescent="0.3">
      <c r="A43" s="4" t="s">
        <v>8</v>
      </c>
      <c r="B43" s="10">
        <v>1</v>
      </c>
      <c r="C43" s="10">
        <v>3</v>
      </c>
      <c r="D43" s="10">
        <v>5</v>
      </c>
      <c r="E43" s="10">
        <v>7</v>
      </c>
      <c r="F43" s="10">
        <v>7</v>
      </c>
      <c r="G43" s="10">
        <v>7</v>
      </c>
      <c r="H43" s="10">
        <v>3</v>
      </c>
      <c r="I43" s="10">
        <v>6</v>
      </c>
      <c r="J43" s="10">
        <v>7</v>
      </c>
      <c r="K43" s="10">
        <v>8</v>
      </c>
      <c r="L43" s="10">
        <f t="shared" si="0"/>
        <v>6</v>
      </c>
      <c r="M43" s="10">
        <f t="shared" si="1"/>
        <v>2</v>
      </c>
      <c r="N43" s="10">
        <f t="shared" si="2"/>
        <v>6.5</v>
      </c>
      <c r="O43" s="10">
        <f t="shared" si="3"/>
        <v>6</v>
      </c>
      <c r="P43" s="10">
        <f t="shared" si="4"/>
        <v>5</v>
      </c>
      <c r="Q43" s="10">
        <f t="shared" si="5"/>
        <v>6.3</v>
      </c>
      <c r="R43" s="10">
        <f t="shared" si="6"/>
        <v>24.200000000000003</v>
      </c>
      <c r="S43" s="10">
        <f t="shared" si="7"/>
        <v>34.200000000000003</v>
      </c>
      <c r="T43" s="10">
        <f t="shared" si="8"/>
        <v>28</v>
      </c>
      <c r="U43" s="11">
        <v>1</v>
      </c>
      <c r="V43" s="10">
        <v>3</v>
      </c>
      <c r="W43" s="10">
        <v>5</v>
      </c>
      <c r="X43" s="10">
        <v>6.5</v>
      </c>
      <c r="Y43" s="10">
        <v>7</v>
      </c>
      <c r="Z43" s="10">
        <v>7</v>
      </c>
      <c r="AA43" s="10">
        <v>3</v>
      </c>
      <c r="AB43" s="10">
        <v>7</v>
      </c>
      <c r="AC43" s="10">
        <v>7</v>
      </c>
      <c r="AD43" s="10">
        <v>7</v>
      </c>
      <c r="AE43" s="10">
        <f t="shared" si="9"/>
        <v>5.875</v>
      </c>
      <c r="AF43" s="10">
        <f t="shared" si="10"/>
        <v>2</v>
      </c>
      <c r="AG43" s="10">
        <f t="shared" si="11"/>
        <v>6.5</v>
      </c>
      <c r="AH43" s="10">
        <f t="shared" si="12"/>
        <v>6</v>
      </c>
      <c r="AI43" s="10">
        <f t="shared" si="13"/>
        <v>5</v>
      </c>
      <c r="AJ43" s="10">
        <f t="shared" si="14"/>
        <v>5.9</v>
      </c>
      <c r="AK43" s="10">
        <f t="shared" si="15"/>
        <v>14</v>
      </c>
      <c r="AL43" s="10">
        <f t="shared" si="16"/>
        <v>34</v>
      </c>
      <c r="AM43" s="10">
        <f t="shared" si="17"/>
        <v>28</v>
      </c>
      <c r="AN43" s="10" t="s">
        <v>175</v>
      </c>
      <c r="AO43" s="10">
        <f t="shared" si="18"/>
        <v>5.9375</v>
      </c>
      <c r="AP43" s="10">
        <f t="shared" si="19"/>
        <v>2</v>
      </c>
      <c r="AQ43" s="10">
        <f t="shared" si="20"/>
        <v>6.5</v>
      </c>
      <c r="AR43" s="10">
        <f t="shared" si="21"/>
        <v>6</v>
      </c>
      <c r="AS43" s="10">
        <f t="shared" si="22"/>
        <v>34.1</v>
      </c>
      <c r="AT43" s="10">
        <f t="shared" si="23"/>
        <v>28</v>
      </c>
      <c r="AU43" s="10">
        <v>108</v>
      </c>
      <c r="AV43" s="10">
        <v>54743</v>
      </c>
      <c r="AW43" s="10">
        <v>1635</v>
      </c>
      <c r="AX43" s="10">
        <v>783</v>
      </c>
      <c r="AY43" s="17">
        <v>44820</v>
      </c>
      <c r="AZ43" s="10" t="s">
        <v>201</v>
      </c>
      <c r="BA43" s="10" t="s">
        <v>27</v>
      </c>
      <c r="BB43" s="17">
        <v>46121</v>
      </c>
      <c r="BC43" s="10">
        <f t="shared" si="24"/>
        <v>1301</v>
      </c>
      <c r="BD43" s="10">
        <f t="shared" si="25"/>
        <v>42.1</v>
      </c>
      <c r="BE43" s="10">
        <f t="shared" si="26"/>
        <v>3</v>
      </c>
      <c r="BF43" s="10">
        <f t="shared" si="27"/>
        <v>1.4</v>
      </c>
      <c r="BG43" s="10">
        <f t="shared" si="28"/>
        <v>0.97</v>
      </c>
      <c r="BH43" s="10">
        <v>60</v>
      </c>
      <c r="BI43" s="10" t="s">
        <v>225</v>
      </c>
      <c r="BJ43" s="10">
        <f t="shared" si="29"/>
        <v>40.837000000000003</v>
      </c>
      <c r="BK43" s="10" t="s">
        <v>235</v>
      </c>
      <c r="BL43" s="3" t="s">
        <v>377</v>
      </c>
      <c r="BM43" s="3" t="s">
        <v>378</v>
      </c>
      <c r="BN43" s="3" t="s">
        <v>251</v>
      </c>
      <c r="BO43" s="3" t="s">
        <v>252</v>
      </c>
      <c r="BP43" s="10" t="s">
        <v>229</v>
      </c>
      <c r="BQ43" s="3" t="s">
        <v>281</v>
      </c>
      <c r="BR43" s="4" t="s">
        <v>83</v>
      </c>
      <c r="BS43" s="19" t="s">
        <v>82</v>
      </c>
    </row>
    <row r="44" spans="1:71" ht="27.6" customHeight="1" x14ac:dyDescent="0.3">
      <c r="A44" s="4" t="s">
        <v>32</v>
      </c>
      <c r="B44" s="10">
        <v>3</v>
      </c>
      <c r="C44" s="10">
        <v>6</v>
      </c>
      <c r="D44" s="10">
        <v>6</v>
      </c>
      <c r="E44" s="10">
        <v>2</v>
      </c>
      <c r="F44" s="10">
        <v>0</v>
      </c>
      <c r="G44" s="10">
        <v>5</v>
      </c>
      <c r="H44" s="10">
        <v>1</v>
      </c>
      <c r="I44" s="10">
        <v>3</v>
      </c>
      <c r="J44" s="10">
        <v>7</v>
      </c>
      <c r="K44" s="10">
        <v>3</v>
      </c>
      <c r="L44" s="10">
        <f t="shared" si="0"/>
        <v>3.25</v>
      </c>
      <c r="M44" s="10">
        <f t="shared" si="1"/>
        <v>2</v>
      </c>
      <c r="N44" s="10">
        <f t="shared" si="2"/>
        <v>4.75</v>
      </c>
      <c r="O44" s="10">
        <f t="shared" si="3"/>
        <v>5.5</v>
      </c>
      <c r="P44" s="10">
        <f t="shared" si="4"/>
        <v>4</v>
      </c>
      <c r="Q44" s="10">
        <f t="shared" si="5"/>
        <v>3.3</v>
      </c>
      <c r="R44" s="10">
        <f t="shared" si="6"/>
        <v>-3.3000000000000007</v>
      </c>
      <c r="S44" s="10">
        <f t="shared" si="7"/>
        <v>26.7</v>
      </c>
      <c r="T44" s="10">
        <f t="shared" si="8"/>
        <v>13</v>
      </c>
      <c r="U44" s="11">
        <v>1</v>
      </c>
      <c r="V44" s="10">
        <v>3</v>
      </c>
      <c r="W44" s="10">
        <v>2</v>
      </c>
      <c r="X44" s="10">
        <v>6</v>
      </c>
      <c r="Y44" s="10">
        <v>7</v>
      </c>
      <c r="Z44" s="10">
        <v>2</v>
      </c>
      <c r="AA44" s="10">
        <v>5</v>
      </c>
      <c r="AB44" s="10">
        <v>2</v>
      </c>
      <c r="AC44" s="10">
        <v>7</v>
      </c>
      <c r="AD44" s="10">
        <v>4</v>
      </c>
      <c r="AE44" s="10">
        <f t="shared" si="9"/>
        <v>4.5</v>
      </c>
      <c r="AF44" s="10">
        <f t="shared" si="10"/>
        <v>3</v>
      </c>
      <c r="AG44" s="10">
        <f t="shared" si="11"/>
        <v>3.75</v>
      </c>
      <c r="AH44" s="10">
        <f t="shared" si="12"/>
        <v>2</v>
      </c>
      <c r="AI44" s="10">
        <f t="shared" si="13"/>
        <v>4</v>
      </c>
      <c r="AJ44" s="10">
        <f t="shared" si="14"/>
        <v>5.5</v>
      </c>
      <c r="AK44" s="10">
        <f t="shared" si="15"/>
        <v>-1.1999999999999993</v>
      </c>
      <c r="AL44" s="10">
        <f t="shared" si="16"/>
        <v>28.8</v>
      </c>
      <c r="AM44" s="10">
        <f t="shared" si="17"/>
        <v>18</v>
      </c>
      <c r="AN44" s="10" t="s">
        <v>72</v>
      </c>
      <c r="AO44" s="10">
        <f t="shared" si="18"/>
        <v>3.875</v>
      </c>
      <c r="AP44" s="10">
        <f t="shared" si="19"/>
        <v>2.5</v>
      </c>
      <c r="AQ44" s="10">
        <f t="shared" si="20"/>
        <v>4.25</v>
      </c>
      <c r="AR44" s="10">
        <f t="shared" si="21"/>
        <v>3.75</v>
      </c>
      <c r="AS44" s="10">
        <f t="shared" si="22"/>
        <v>30.2</v>
      </c>
      <c r="AT44" s="10">
        <f t="shared" si="23"/>
        <v>10</v>
      </c>
      <c r="AU44" s="10"/>
      <c r="AV44" s="10"/>
      <c r="AW44" s="10"/>
      <c r="AX44" s="10"/>
      <c r="AY44" s="10"/>
      <c r="AZ44" s="10"/>
      <c r="BA44" s="10" t="s">
        <v>219</v>
      </c>
      <c r="BB44" s="10"/>
      <c r="BC44" s="10">
        <f t="shared" si="24"/>
        <v>0</v>
      </c>
      <c r="BD44" s="10" t="e">
        <f t="shared" si="25"/>
        <v>#DIV/0!</v>
      </c>
      <c r="BE44" s="10" t="e">
        <f t="shared" si="26"/>
        <v>#DIV/0!</v>
      </c>
      <c r="BF44" s="8" t="e">
        <f t="shared" si="27"/>
        <v>#DIV/0!</v>
      </c>
      <c r="BG44" s="10">
        <f t="shared" si="28"/>
        <v>0</v>
      </c>
      <c r="BH44" s="10"/>
      <c r="BI44" s="10"/>
      <c r="BJ44" s="10" t="e">
        <f t="shared" si="29"/>
        <v>#DIV/0!</v>
      </c>
      <c r="BK44" s="10"/>
      <c r="BL44" s="3"/>
      <c r="BM44" s="3"/>
      <c r="BN44" s="3"/>
      <c r="BO44" s="3"/>
      <c r="BP44" s="10"/>
      <c r="BQ44" s="3"/>
      <c r="BR44" s="4" t="s">
        <v>115</v>
      </c>
      <c r="BS44" s="20" t="s">
        <v>72</v>
      </c>
    </row>
    <row r="45" spans="1:71" ht="22.8" x14ac:dyDescent="0.4">
      <c r="A45" s="6"/>
      <c r="B45" s="6"/>
      <c r="C45" s="6"/>
      <c r="D45" s="6"/>
      <c r="E45" s="6"/>
      <c r="F45" s="6"/>
      <c r="G45" s="6"/>
      <c r="H45" s="6"/>
      <c r="I45" s="6"/>
      <c r="J45" s="6"/>
      <c r="K45" s="6"/>
      <c r="L45" s="6"/>
      <c r="M45" s="6"/>
      <c r="N45" s="6"/>
      <c r="O45" s="6"/>
      <c r="P45" s="6"/>
      <c r="Q45" s="6"/>
      <c r="R45" s="6"/>
      <c r="S45" s="6"/>
      <c r="T45" s="6"/>
      <c r="U45" s="12"/>
      <c r="V45" s="6"/>
      <c r="W45" s="6"/>
      <c r="X45" s="6"/>
    </row>
    <row r="46" spans="1:71" ht="22.8" x14ac:dyDescent="0.4">
      <c r="A46" s="18" t="s">
        <v>205</v>
      </c>
      <c r="B46" s="18" t="s">
        <v>220</v>
      </c>
      <c r="C46" s="6"/>
      <c r="D46" s="6"/>
      <c r="E46" s="6"/>
      <c r="F46" s="6"/>
      <c r="G46" s="6"/>
      <c r="H46" s="6"/>
      <c r="I46" s="6"/>
      <c r="J46" s="6"/>
      <c r="K46" s="6"/>
      <c r="L46" s="6"/>
      <c r="M46" s="6"/>
      <c r="N46" s="6"/>
      <c r="O46" s="6"/>
      <c r="P46" s="6"/>
      <c r="Q46" s="6"/>
      <c r="R46" s="6"/>
      <c r="S46" s="6"/>
      <c r="T46" s="6"/>
      <c r="U46" s="12"/>
      <c r="V46" s="6"/>
      <c r="W46" s="6"/>
      <c r="X46" s="6"/>
    </row>
    <row r="47" spans="1:71" ht="22.8" x14ac:dyDescent="0.4">
      <c r="A47" s="10">
        <v>0</v>
      </c>
      <c r="B47" s="10">
        <v>0</v>
      </c>
      <c r="C47" s="6"/>
      <c r="D47" s="6"/>
      <c r="E47" s="6"/>
      <c r="F47" s="6"/>
      <c r="G47" s="6"/>
      <c r="H47" s="6"/>
      <c r="I47" s="6"/>
      <c r="J47" s="6"/>
      <c r="K47" s="6"/>
      <c r="L47" s="6"/>
      <c r="M47" s="6"/>
      <c r="N47" s="6"/>
      <c r="O47" s="6"/>
      <c r="P47" s="6"/>
      <c r="Q47" s="6"/>
      <c r="R47" s="6"/>
      <c r="S47" s="6"/>
      <c r="T47" s="6"/>
      <c r="U47" s="12"/>
      <c r="V47" s="6"/>
      <c r="W47" s="6"/>
      <c r="X47" s="6"/>
    </row>
    <row r="48" spans="1:71" ht="22.8" x14ac:dyDescent="0.4">
      <c r="A48" s="10">
        <v>7</v>
      </c>
      <c r="B48" s="10">
        <v>0.15</v>
      </c>
      <c r="C48" s="6"/>
      <c r="D48" s="6"/>
      <c r="E48" s="6"/>
      <c r="F48" s="6"/>
      <c r="G48" s="6"/>
      <c r="H48" s="6"/>
      <c r="I48" s="6"/>
      <c r="J48" s="6"/>
      <c r="K48" s="6"/>
      <c r="L48" s="6"/>
      <c r="M48" s="6"/>
      <c r="N48" s="6"/>
      <c r="O48" s="6"/>
      <c r="P48" s="6"/>
      <c r="Q48" s="6"/>
      <c r="R48" s="6"/>
      <c r="S48" s="6"/>
      <c r="T48" s="6"/>
      <c r="U48" s="12"/>
      <c r="V48" s="2"/>
      <c r="W48" s="1"/>
      <c r="X48" s="1"/>
      <c r="Y48" s="1"/>
      <c r="Z48" s="1"/>
      <c r="AA48" s="1"/>
      <c r="AB48" s="1"/>
    </row>
    <row r="49" spans="1:28" ht="22.8" x14ac:dyDescent="0.4">
      <c r="A49" s="10">
        <v>14</v>
      </c>
      <c r="B49" s="10">
        <v>0.25</v>
      </c>
      <c r="C49" s="6"/>
      <c r="D49" s="6"/>
      <c r="E49" s="6"/>
      <c r="F49" s="6"/>
      <c r="G49" s="6"/>
      <c r="H49" s="6"/>
      <c r="I49" s="6"/>
      <c r="J49" s="6"/>
      <c r="K49" s="6"/>
      <c r="L49" s="6"/>
      <c r="M49" s="6"/>
      <c r="N49" s="6"/>
      <c r="O49" s="6"/>
      <c r="P49" s="6"/>
      <c r="Q49" s="6"/>
      <c r="R49" s="1"/>
      <c r="S49" s="1"/>
      <c r="T49" s="1"/>
      <c r="U49" s="13"/>
      <c r="V49" s="2"/>
      <c r="W49" s="1"/>
      <c r="X49" s="1"/>
      <c r="Y49" s="1"/>
      <c r="Z49" s="1"/>
      <c r="AA49" s="1"/>
      <c r="AB49" s="1"/>
    </row>
    <row r="50" spans="1:28" ht="22.8" x14ac:dyDescent="0.4">
      <c r="A50" s="10">
        <v>21</v>
      </c>
      <c r="B50" s="10">
        <v>0.33</v>
      </c>
      <c r="C50" s="6"/>
      <c r="D50" s="6"/>
      <c r="E50" s="6"/>
      <c r="F50" s="6"/>
      <c r="G50" s="6"/>
      <c r="H50" s="6"/>
      <c r="I50" s="6"/>
      <c r="J50" s="6"/>
      <c r="K50" s="6"/>
      <c r="L50" s="6"/>
      <c r="M50" s="6"/>
      <c r="N50" s="6"/>
      <c r="O50" s="6"/>
      <c r="P50" s="6"/>
      <c r="Q50" s="6"/>
      <c r="R50" s="1"/>
      <c r="S50" s="1"/>
      <c r="T50" s="1"/>
      <c r="U50" s="13"/>
      <c r="V50" s="2"/>
      <c r="W50" s="1"/>
      <c r="X50" s="1"/>
      <c r="Y50" s="1"/>
      <c r="Z50" s="1"/>
      <c r="AA50" s="1"/>
      <c r="AB50" s="1"/>
    </row>
    <row r="51" spans="1:28" ht="22.8" x14ac:dyDescent="0.4">
      <c r="A51" s="10">
        <v>28</v>
      </c>
      <c r="B51" s="10">
        <v>0.4</v>
      </c>
      <c r="C51" s="6"/>
      <c r="D51" s="6"/>
      <c r="E51" s="6"/>
      <c r="F51" s="6"/>
      <c r="G51" s="6"/>
      <c r="H51" s="6"/>
      <c r="I51" s="6"/>
      <c r="J51" s="6"/>
      <c r="K51" s="6"/>
      <c r="L51" s="6"/>
      <c r="M51" s="6"/>
      <c r="N51" s="6"/>
      <c r="O51" s="6"/>
      <c r="P51" s="6"/>
      <c r="Q51" s="6"/>
      <c r="R51" s="1"/>
      <c r="S51" s="1"/>
      <c r="T51" s="1"/>
      <c r="U51" s="13"/>
      <c r="V51" s="2"/>
      <c r="W51" s="1"/>
      <c r="X51" s="1"/>
      <c r="Y51" s="1"/>
      <c r="Z51" s="1"/>
      <c r="AA51" s="1"/>
      <c r="AB51" s="1"/>
    </row>
    <row r="52" spans="1:28" ht="22.8" x14ac:dyDescent="0.4">
      <c r="A52" s="10">
        <v>61</v>
      </c>
      <c r="B52" s="10">
        <v>0.55000000000000004</v>
      </c>
      <c r="C52" s="1"/>
      <c r="D52" s="1"/>
      <c r="E52" s="1"/>
      <c r="F52" s="1"/>
      <c r="G52" s="1"/>
      <c r="H52" s="1"/>
      <c r="I52" s="1"/>
      <c r="J52" s="1"/>
      <c r="K52" s="1"/>
      <c r="L52" s="6"/>
      <c r="M52" s="1"/>
      <c r="N52" s="1"/>
      <c r="O52" s="1"/>
      <c r="P52" s="1"/>
      <c r="Q52" s="1"/>
      <c r="R52" s="1"/>
      <c r="S52" s="1"/>
      <c r="T52" s="1"/>
      <c r="U52" s="13"/>
      <c r="V52" s="2"/>
      <c r="W52" s="1"/>
      <c r="X52" s="1"/>
      <c r="Y52" s="1"/>
      <c r="Z52" s="1"/>
      <c r="AA52" s="1"/>
      <c r="AB52" s="1"/>
    </row>
    <row r="53" spans="1:28" ht="22.8" x14ac:dyDescent="0.4">
      <c r="A53" s="10">
        <v>92</v>
      </c>
      <c r="B53" s="10">
        <v>0.65</v>
      </c>
      <c r="C53" s="1"/>
      <c r="D53" s="1"/>
      <c r="E53" s="1"/>
      <c r="F53" s="1"/>
      <c r="G53" s="1"/>
      <c r="H53" s="1"/>
      <c r="I53" s="1"/>
      <c r="J53" s="1"/>
      <c r="K53" s="1"/>
      <c r="L53" s="6"/>
      <c r="M53" s="1"/>
      <c r="N53" s="1"/>
      <c r="O53" s="1"/>
      <c r="P53" s="1"/>
      <c r="Q53" s="1"/>
      <c r="R53" s="1"/>
      <c r="S53" s="1"/>
      <c r="T53" s="1"/>
      <c r="U53" s="13"/>
      <c r="V53" s="2"/>
      <c r="W53" s="1"/>
      <c r="X53" s="1"/>
      <c r="Y53" s="1"/>
      <c r="Z53" s="1"/>
      <c r="AA53" s="1"/>
      <c r="AB53" s="1"/>
    </row>
    <row r="54" spans="1:28" ht="22.8" x14ac:dyDescent="0.4">
      <c r="A54" s="10">
        <v>152</v>
      </c>
      <c r="B54" s="10">
        <v>0.74</v>
      </c>
      <c r="C54" s="1"/>
      <c r="D54" s="1"/>
      <c r="E54" s="1"/>
      <c r="F54" s="1"/>
      <c r="G54" s="1"/>
      <c r="H54" s="1"/>
      <c r="I54" s="1"/>
      <c r="J54" s="1"/>
      <c r="K54" s="1"/>
      <c r="L54" s="6"/>
      <c r="M54" s="1"/>
      <c r="N54" s="1"/>
      <c r="O54" s="1"/>
      <c r="P54" s="1"/>
      <c r="Q54" s="1"/>
      <c r="R54" s="1"/>
      <c r="S54" s="1"/>
      <c r="T54" s="1"/>
      <c r="U54" s="13"/>
      <c r="V54" s="2"/>
      <c r="W54" s="1"/>
      <c r="X54" s="1"/>
      <c r="Y54" s="1"/>
      <c r="Z54" s="1"/>
      <c r="AA54" s="1"/>
      <c r="AB54" s="1"/>
    </row>
    <row r="55" spans="1:28" ht="22.8" x14ac:dyDescent="0.4">
      <c r="A55" s="10">
        <v>183</v>
      </c>
      <c r="B55" s="10">
        <v>0.78</v>
      </c>
      <c r="C55" s="1"/>
      <c r="D55" s="1"/>
      <c r="E55" s="1"/>
      <c r="F55" s="1"/>
      <c r="G55" s="1"/>
      <c r="H55" s="1"/>
      <c r="I55" s="1"/>
      <c r="J55" s="1"/>
      <c r="K55" s="1"/>
      <c r="L55" s="6"/>
      <c r="M55" s="1"/>
      <c r="N55" s="1"/>
      <c r="O55" s="1"/>
      <c r="P55" s="1"/>
      <c r="Q55" s="1"/>
      <c r="R55" s="1"/>
      <c r="S55" s="1"/>
      <c r="T55" s="1"/>
      <c r="U55" s="13"/>
      <c r="V55" s="2"/>
      <c r="W55" s="1"/>
      <c r="X55" s="1"/>
      <c r="Y55" s="1"/>
      <c r="Z55" s="1"/>
      <c r="AA55" s="1"/>
      <c r="AB55" s="1"/>
    </row>
    <row r="56" spans="1:28" ht="22.8" x14ac:dyDescent="0.4">
      <c r="A56" s="10">
        <v>365</v>
      </c>
      <c r="B56" s="10">
        <v>0.88</v>
      </c>
      <c r="C56" s="1"/>
      <c r="D56" s="1"/>
      <c r="E56" s="1"/>
      <c r="F56" s="1"/>
      <c r="G56" s="1"/>
      <c r="H56" s="1"/>
      <c r="I56" s="1"/>
      <c r="J56" s="1"/>
      <c r="K56" s="1"/>
      <c r="L56" s="6"/>
      <c r="M56" s="1"/>
      <c r="N56" s="1"/>
      <c r="O56" s="1"/>
      <c r="P56" s="1"/>
      <c r="Q56" s="1"/>
      <c r="R56" s="1"/>
      <c r="S56" s="1"/>
      <c r="T56" s="1"/>
      <c r="U56" s="13"/>
      <c r="V56" s="2"/>
      <c r="W56" s="1"/>
      <c r="X56" s="1"/>
      <c r="Y56" s="1"/>
      <c r="Z56" s="1"/>
      <c r="AA56" s="1"/>
      <c r="AB56" s="1"/>
    </row>
    <row r="57" spans="1:28" ht="22.8" x14ac:dyDescent="0.4">
      <c r="A57" s="10">
        <f>2*365</f>
        <v>730</v>
      </c>
      <c r="B57" s="10">
        <v>0.94</v>
      </c>
      <c r="C57" s="1"/>
      <c r="D57" s="1"/>
      <c r="E57" s="1"/>
      <c r="F57" s="1"/>
      <c r="G57" s="1"/>
      <c r="H57" s="1"/>
      <c r="I57" s="1"/>
      <c r="J57" s="1"/>
      <c r="K57" s="1"/>
      <c r="L57" s="6"/>
      <c r="M57" s="1"/>
      <c r="N57" s="1"/>
      <c r="O57" s="1"/>
      <c r="P57" s="1"/>
      <c r="Q57" s="1"/>
      <c r="V57" s="2"/>
      <c r="W57" s="1"/>
      <c r="X57" s="1"/>
      <c r="Y57" s="1"/>
      <c r="Z57" s="1"/>
      <c r="AA57" s="1"/>
      <c r="AB57" s="1"/>
    </row>
    <row r="58" spans="1:28" ht="22.8" x14ac:dyDescent="0.4">
      <c r="A58" s="10">
        <f>3*365</f>
        <v>1095</v>
      </c>
      <c r="B58" s="10">
        <v>0.97</v>
      </c>
      <c r="C58" s="1"/>
      <c r="D58" s="1"/>
      <c r="E58" s="1"/>
      <c r="F58" s="1"/>
      <c r="G58" s="1"/>
      <c r="H58" s="1"/>
      <c r="I58" s="1"/>
      <c r="J58" s="1"/>
      <c r="K58" s="1"/>
      <c r="L58" s="6"/>
      <c r="M58" s="1"/>
      <c r="N58" s="1"/>
      <c r="O58" s="1"/>
      <c r="P58" s="1"/>
      <c r="Q58" s="1"/>
    </row>
    <row r="59" spans="1:28" ht="22.8" x14ac:dyDescent="0.4">
      <c r="A59" s="10">
        <f>4*365</f>
        <v>1460</v>
      </c>
      <c r="B59" s="10">
        <v>0.98</v>
      </c>
      <c r="C59" s="1"/>
      <c r="D59" s="1"/>
      <c r="E59" s="1"/>
      <c r="F59" s="1"/>
      <c r="G59" s="1"/>
      <c r="H59" s="1"/>
      <c r="I59" s="1"/>
      <c r="J59" s="1"/>
      <c r="K59" s="1"/>
      <c r="L59" s="6"/>
      <c r="M59" s="1"/>
      <c r="N59" s="1"/>
      <c r="O59" s="1"/>
      <c r="P59" s="1"/>
      <c r="Q59" s="1"/>
    </row>
    <row r="60" spans="1:28" ht="21" x14ac:dyDescent="0.3">
      <c r="A60" s="10">
        <f>5*365</f>
        <v>1825</v>
      </c>
      <c r="B60" s="10">
        <v>0.99</v>
      </c>
    </row>
    <row r="61" spans="1:28" ht="21" x14ac:dyDescent="0.3">
      <c r="A61" s="10">
        <f>6*365</f>
        <v>2190</v>
      </c>
      <c r="B61" s="10">
        <v>1</v>
      </c>
    </row>
  </sheetData>
  <phoneticPr fontId="5" type="noConversion"/>
  <hyperlinks>
    <hyperlink ref="BS29" r:id="rId1" xr:uid="{20C2472C-C63B-495A-990F-46778159044D}"/>
    <hyperlink ref="BS2" r:id="rId2" xr:uid="{C536A24E-8B37-45F4-9B2D-F04A8E36898B}"/>
  </hyperlinks>
  <pageMargins left="0.7" right="0.7" top="0.75" bottom="0.75" header="0.3" footer="0.3"/>
  <pageSetup paperSize="9" orientation="portrait" r:id="rId3"/>
  <tableParts count="2">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17663-77C9-4900-930D-69E1D3D95A7D}">
  <dimension ref="A1:A43"/>
  <sheetViews>
    <sheetView workbookViewId="0">
      <selection activeCell="A44" sqref="A44"/>
    </sheetView>
  </sheetViews>
  <sheetFormatPr defaultRowHeight="14.4" x14ac:dyDescent="0.3"/>
  <sheetData>
    <row r="1" spans="1:1" x14ac:dyDescent="0.3">
      <c r="A1" t="s">
        <v>38</v>
      </c>
    </row>
    <row r="3" spans="1:1" x14ac:dyDescent="0.3">
      <c r="A3" s="5" t="s">
        <v>39</v>
      </c>
    </row>
    <row r="4" spans="1:1" x14ac:dyDescent="0.3">
      <c r="A4" t="s">
        <v>40</v>
      </c>
    </row>
    <row r="5" spans="1:1" x14ac:dyDescent="0.3">
      <c r="A5" t="s">
        <v>41</v>
      </c>
    </row>
    <row r="6" spans="1:1" x14ac:dyDescent="0.3">
      <c r="A6" t="s">
        <v>42</v>
      </c>
    </row>
    <row r="7" spans="1:1" x14ac:dyDescent="0.3">
      <c r="A7" t="s">
        <v>43</v>
      </c>
    </row>
    <row r="8" spans="1:1" x14ac:dyDescent="0.3">
      <c r="A8" t="s">
        <v>44</v>
      </c>
    </row>
    <row r="10" spans="1:1" x14ac:dyDescent="0.3">
      <c r="A10" s="5" t="s">
        <v>45</v>
      </c>
    </row>
    <row r="11" spans="1:1" x14ac:dyDescent="0.3">
      <c r="A11" t="s">
        <v>46</v>
      </c>
    </row>
    <row r="12" spans="1:1" x14ac:dyDescent="0.3">
      <c r="A12" t="s">
        <v>193</v>
      </c>
    </row>
    <row r="13" spans="1:1" x14ac:dyDescent="0.3">
      <c r="A13" t="s">
        <v>47</v>
      </c>
    </row>
    <row r="14" spans="1:1" x14ac:dyDescent="0.3">
      <c r="A14" t="s">
        <v>56</v>
      </c>
    </row>
    <row r="15" spans="1:1" x14ac:dyDescent="0.3">
      <c r="A15" t="s">
        <v>55</v>
      </c>
    </row>
    <row r="17" spans="1:1" x14ac:dyDescent="0.3">
      <c r="A17" s="5" t="s">
        <v>48</v>
      </c>
    </row>
    <row r="18" spans="1:1" x14ac:dyDescent="0.3">
      <c r="A18" t="s">
        <v>54</v>
      </c>
    </row>
    <row r="19" spans="1:1" x14ac:dyDescent="0.3">
      <c r="A19" t="s">
        <v>49</v>
      </c>
    </row>
    <row r="20" spans="1:1" x14ac:dyDescent="0.3">
      <c r="A20" t="s">
        <v>50</v>
      </c>
    </row>
    <row r="21" spans="1:1" x14ac:dyDescent="0.3">
      <c r="A21" t="s">
        <v>51</v>
      </c>
    </row>
    <row r="22" spans="1:1" x14ac:dyDescent="0.3">
      <c r="A22" t="s">
        <v>52</v>
      </c>
    </row>
    <row r="23" spans="1:1" x14ac:dyDescent="0.3">
      <c r="A23" t="s">
        <v>53</v>
      </c>
    </row>
    <row r="25" spans="1:1" x14ac:dyDescent="0.3">
      <c r="A25" s="5" t="s">
        <v>57</v>
      </c>
    </row>
    <row r="26" spans="1:1" x14ac:dyDescent="0.3">
      <c r="A26" t="s">
        <v>150</v>
      </c>
    </row>
    <row r="27" spans="1:1" x14ac:dyDescent="0.3">
      <c r="A27" t="s">
        <v>30</v>
      </c>
    </row>
    <row r="28" spans="1:1" x14ac:dyDescent="0.3">
      <c r="A28" t="s">
        <v>29</v>
      </c>
    </row>
    <row r="29" spans="1:1" x14ac:dyDescent="0.3">
      <c r="A29" t="s">
        <v>34</v>
      </c>
    </row>
    <row r="30" spans="1:1" x14ac:dyDescent="0.3">
      <c r="A30" t="s">
        <v>36</v>
      </c>
    </row>
    <row r="31" spans="1:1" x14ac:dyDescent="0.3">
      <c r="A31" t="s">
        <v>31</v>
      </c>
    </row>
    <row r="32" spans="1:1" x14ac:dyDescent="0.3">
      <c r="A32" t="s">
        <v>35</v>
      </c>
    </row>
    <row r="33" spans="1:1" x14ac:dyDescent="0.3">
      <c r="A33" t="s">
        <v>28</v>
      </c>
    </row>
    <row r="34" spans="1:1" x14ac:dyDescent="0.3">
      <c r="A34" t="s">
        <v>33</v>
      </c>
    </row>
    <row r="35" spans="1:1" x14ac:dyDescent="0.3">
      <c r="A35" t="s">
        <v>32</v>
      </c>
    </row>
    <row r="36" spans="1:1" x14ac:dyDescent="0.3">
      <c r="A36" t="s">
        <v>192</v>
      </c>
    </row>
    <row r="38" spans="1:1" x14ac:dyDescent="0.3">
      <c r="A38" t="s">
        <v>194</v>
      </c>
    </row>
    <row r="39" spans="1:1" x14ac:dyDescent="0.3">
      <c r="A39" t="s">
        <v>58</v>
      </c>
    </row>
    <row r="40" spans="1:1" x14ac:dyDescent="0.3">
      <c r="A40" t="s">
        <v>59</v>
      </c>
    </row>
    <row r="41" spans="1:1" x14ac:dyDescent="0.3">
      <c r="A41" t="s">
        <v>60</v>
      </c>
    </row>
    <row r="43" spans="1:1" x14ac:dyDescent="0.3">
      <c r="A43" t="s">
        <v>195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D3ED1A8-2DEA-4C4B-A948-07936CC1757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Summary</vt:lpstr>
      <vt:lpstr>Spearman</vt:lpstr>
      <vt:lpstr>Cronbach Alpha</vt:lpstr>
      <vt:lpstr>Hits Correlation</vt:lpstr>
      <vt:lpstr>Scores</vt:lpstr>
      <vt:lpstr>Dataset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Christiaan Douma</dc:creator>
  <cp:lastModifiedBy>Christiaan Douma</cp:lastModifiedBy>
  <dcterms:created xsi:type="dcterms:W3CDTF">2026-03-05T18:02:21Z</dcterms:created>
  <dcterms:modified xsi:type="dcterms:W3CDTF">2026-04-13T08:47:06Z</dcterms:modified>
</cp:coreProperties>
</file>
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HP Fanfiction\Other_Fanfics\"/>
    </mc:Choice>
  </mc:AlternateContent>
  <xr:revisionPtr revIDLastSave="0" documentId="13_ncr:1_{8D52EF49-E703-4C47-B825-7CEF6306A2EB}" xr6:coauthVersionLast="47" xr6:coauthVersionMax="47" xr10:uidLastSave="{00000000-0000-0000-0000-000000000000}"/>
  <bookViews>
    <workbookView xWindow="-108" yWindow="-108" windowWidth="23256" windowHeight="12576" xr2:uid="{B39EF016-BEDA-4D91-8E21-FC81487FEE7D}"/>
  </bookViews>
  <sheets>
    <sheet name="Summary" sheetId="13" r:id="rId1"/>
    <sheet name="Spearman" sheetId="10" r:id="rId2"/>
    <sheet name="Cronbach Alpha" sheetId="11" r:id="rId3"/>
    <sheet name="Hits Correlation" sheetId="12" r:id="rId4"/>
    <sheet name="Scores" sheetId="3" r:id="rId5"/>
    <sheet name="Dataset" sheetId="4" r:id="rId6"/>
  </sheets>
  <definedNames>
    <definedName name="ExternalData_1" localSheetId="2" hidden="1">'Cronbach Alpha'!$A$1:$Z$31</definedName>
    <definedName name="ExternalData_1" localSheetId="3" hidden="1">'Hits Correlation'!$A$1:$N$29</definedName>
    <definedName name="ExternalData_1" localSheetId="1" hidden="1">Spearman!$A$1:$E$31</definedName>
    <definedName name="ExternalData_1" localSheetId="0" hidden="1">Summary!$A$1:$O$42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36" i="11" l="1"/>
  <c r="Z35" i="11"/>
  <c r="Z34" i="11"/>
  <c r="Z33" i="11"/>
  <c r="AB3" i="11"/>
  <c r="AB4" i="11"/>
  <c r="AB5" i="11"/>
  <c r="AB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2" i="11"/>
  <c r="W33" i="11"/>
  <c r="L33" i="11"/>
  <c r="L31" i="12"/>
  <c r="L33" i="12" s="1"/>
  <c r="BF17" i="3"/>
  <c r="BE17" i="3"/>
  <c r="BC17" i="3"/>
  <c r="BG17" i="3" s="1"/>
  <c r="L17" i="3"/>
  <c r="M17" i="3"/>
  <c r="N17" i="3"/>
  <c r="O17" i="3"/>
  <c r="P17" i="3"/>
  <c r="Q17" i="3"/>
  <c r="AE17" i="3"/>
  <c r="AF17" i="3"/>
  <c r="AG17" i="3"/>
  <c r="AH17" i="3"/>
  <c r="AI17" i="3"/>
  <c r="AJ17" i="3"/>
  <c r="AO17" i="3"/>
  <c r="AP17" i="3"/>
  <c r="AQ17" i="3"/>
  <c r="AR17" i="3"/>
  <c r="A61" i="3"/>
  <c r="A59" i="3"/>
  <c r="A60" i="3"/>
  <c r="A58" i="3"/>
  <c r="A57" i="3"/>
  <c r="C34" i="12"/>
  <c r="G32" i="12"/>
  <c r="C32" i="12"/>
  <c r="G31" i="12"/>
  <c r="C31" i="12"/>
  <c r="BF29" i="3"/>
  <c r="BF2" i="3"/>
  <c r="BF12" i="3"/>
  <c r="BF6" i="3"/>
  <c r="BF3" i="3"/>
  <c r="BF24" i="3"/>
  <c r="BF8" i="3"/>
  <c r="BF4" i="3"/>
  <c r="BF36" i="3"/>
  <c r="BF10" i="3"/>
  <c r="BF5" i="3"/>
  <c r="BF34" i="3"/>
  <c r="BF28" i="3"/>
  <c r="BF15" i="3"/>
  <c r="BF43" i="3"/>
  <c r="BF16" i="3"/>
  <c r="BF9" i="3"/>
  <c r="BF38" i="3"/>
  <c r="BF21" i="3"/>
  <c r="BF14" i="3"/>
  <c r="BF26" i="3"/>
  <c r="BF25" i="3"/>
  <c r="BF42" i="3"/>
  <c r="BF33" i="3"/>
  <c r="BF37" i="3"/>
  <c r="BF27" i="3"/>
  <c r="BF7" i="3"/>
  <c r="BF31" i="3"/>
  <c r="BF30" i="3"/>
  <c r="BF32" i="3"/>
  <c r="BF23" i="3"/>
  <c r="BF40" i="3"/>
  <c r="BF35" i="3"/>
  <c r="BF19" i="3"/>
  <c r="BF11" i="3"/>
  <c r="BF20" i="3"/>
  <c r="BF39" i="3"/>
  <c r="BF18" i="3"/>
  <c r="BF41" i="3"/>
  <c r="BF22" i="3"/>
  <c r="BF13" i="3"/>
  <c r="BF44" i="3"/>
  <c r="BE6" i="3"/>
  <c r="BE29" i="3"/>
  <c r="BE2" i="3"/>
  <c r="BE12" i="3"/>
  <c r="BE3" i="3"/>
  <c r="BE24" i="3"/>
  <c r="BE8" i="3"/>
  <c r="BE4" i="3"/>
  <c r="BE36" i="3"/>
  <c r="BE10" i="3"/>
  <c r="BE5" i="3"/>
  <c r="BE34" i="3"/>
  <c r="BE28" i="3"/>
  <c r="BE15" i="3"/>
  <c r="BE43" i="3"/>
  <c r="BE16" i="3"/>
  <c r="BE9" i="3"/>
  <c r="BE38" i="3"/>
  <c r="BE21" i="3"/>
  <c r="BE14" i="3"/>
  <c r="BE26" i="3"/>
  <c r="BE25" i="3"/>
  <c r="BE42" i="3"/>
  <c r="BE33" i="3"/>
  <c r="BE37" i="3"/>
  <c r="BE27" i="3"/>
  <c r="BE7" i="3"/>
  <c r="BE31" i="3"/>
  <c r="BE30" i="3"/>
  <c r="BE32" i="3"/>
  <c r="BE23" i="3"/>
  <c r="BE40" i="3"/>
  <c r="BE35" i="3"/>
  <c r="BE19" i="3"/>
  <c r="BE11" i="3"/>
  <c r="BE20" i="3"/>
  <c r="BE39" i="3"/>
  <c r="BE18" i="3"/>
  <c r="BE41" i="3"/>
  <c r="BE22" i="3"/>
  <c r="BE13" i="3"/>
  <c r="BE44" i="3"/>
  <c r="BC29" i="3"/>
  <c r="BD29" i="3" s="1"/>
  <c r="BC2" i="3"/>
  <c r="BD2" i="3" s="1"/>
  <c r="BC12" i="3"/>
  <c r="BD12" i="3" s="1"/>
  <c r="BC6" i="3"/>
  <c r="BD6" i="3" s="1"/>
  <c r="BC3" i="3"/>
  <c r="BD3" i="3" s="1"/>
  <c r="BC24" i="3"/>
  <c r="BG24" i="3" s="1"/>
  <c r="BC8" i="3"/>
  <c r="BG8" i="3" s="1"/>
  <c r="BC4" i="3"/>
  <c r="BD4" i="3" s="1"/>
  <c r="BC36" i="3"/>
  <c r="BD36" i="3" s="1"/>
  <c r="BC10" i="3"/>
  <c r="BG10" i="3" s="1"/>
  <c r="BC5" i="3"/>
  <c r="BD5" i="3" s="1"/>
  <c r="BC34" i="3"/>
  <c r="BG34" i="3" s="1"/>
  <c r="BC28" i="3"/>
  <c r="BD28" i="3" s="1"/>
  <c r="BC15" i="3"/>
  <c r="BD15" i="3" s="1"/>
  <c r="BC43" i="3"/>
  <c r="BD43" i="3" s="1"/>
  <c r="BC16" i="3"/>
  <c r="BD16" i="3" s="1"/>
  <c r="BC9" i="3"/>
  <c r="BG9" i="3" s="1"/>
  <c r="BC38" i="3"/>
  <c r="BD38" i="3" s="1"/>
  <c r="BC21" i="3"/>
  <c r="BD21" i="3" s="1"/>
  <c r="BC14" i="3"/>
  <c r="BD14" i="3" s="1"/>
  <c r="BC26" i="3"/>
  <c r="BD26" i="3" s="1"/>
  <c r="BC25" i="3"/>
  <c r="BG25" i="3" s="1"/>
  <c r="BC42" i="3"/>
  <c r="BD42" i="3" s="1"/>
  <c r="BC33" i="3"/>
  <c r="BD33" i="3" s="1"/>
  <c r="BC37" i="3"/>
  <c r="BD37" i="3" s="1"/>
  <c r="BC27" i="3"/>
  <c r="BD27" i="3" s="1"/>
  <c r="BC7" i="3"/>
  <c r="BD7" i="3" s="1"/>
  <c r="BC31" i="3"/>
  <c r="BD31" i="3" s="1"/>
  <c r="BC30" i="3"/>
  <c r="BD30" i="3" s="1"/>
  <c r="BC32" i="3"/>
  <c r="BD32" i="3" s="1"/>
  <c r="BC23" i="3"/>
  <c r="BD23" i="3" s="1"/>
  <c r="BC40" i="3"/>
  <c r="BD40" i="3" s="1"/>
  <c r="BC35" i="3"/>
  <c r="BG35" i="3" s="1"/>
  <c r="BC19" i="3"/>
  <c r="BD19" i="3" s="1"/>
  <c r="BC11" i="3"/>
  <c r="BD11" i="3" s="1"/>
  <c r="BC20" i="3"/>
  <c r="BD20" i="3" s="1"/>
  <c r="BC39" i="3"/>
  <c r="BD39" i="3" s="1"/>
  <c r="BC18" i="3"/>
  <c r="BD18" i="3" s="1"/>
  <c r="BC41" i="3"/>
  <c r="BD41" i="3" s="1"/>
  <c r="BC22" i="3"/>
  <c r="BD22" i="3" s="1"/>
  <c r="BC13" i="3"/>
  <c r="BG13" i="3" s="1"/>
  <c r="BC44" i="3"/>
  <c r="BD44" i="3" s="1"/>
  <c r="BJ36" i="3" l="1"/>
  <c r="BJ23" i="3"/>
  <c r="BJ40" i="3"/>
  <c r="BJ22" i="3"/>
  <c r="BJ43" i="3"/>
  <c r="BJ15" i="3"/>
  <c r="BJ2" i="3"/>
  <c r="BJ31" i="3"/>
  <c r="BJ39" i="3"/>
  <c r="BJ6" i="3"/>
  <c r="BJ28" i="3"/>
  <c r="BJ5" i="3"/>
  <c r="BD24" i="3"/>
  <c r="BJ24" i="3" s="1"/>
  <c r="BD35" i="3"/>
  <c r="BJ35" i="3" s="1"/>
  <c r="BD34" i="3"/>
  <c r="BJ34" i="3" s="1"/>
  <c r="BD10" i="3"/>
  <c r="BJ10" i="3" s="1"/>
  <c r="BD9" i="3"/>
  <c r="BJ9" i="3" s="1"/>
  <c r="BD8" i="3"/>
  <c r="BJ8" i="3" s="1"/>
  <c r="BD17" i="3"/>
  <c r="BJ17" i="3" s="1"/>
  <c r="BD25" i="3"/>
  <c r="BJ25" i="3" s="1"/>
  <c r="BD13" i="3"/>
  <c r="BJ13" i="3" s="1"/>
  <c r="Z38" i="11"/>
  <c r="AL17" i="3"/>
  <c r="AK17" i="3" s="1"/>
  <c r="AT17" i="3"/>
  <c r="AS17" i="3"/>
  <c r="S17" i="3"/>
  <c r="R17" i="3" s="1"/>
  <c r="AM17" i="3"/>
  <c r="T17" i="3"/>
  <c r="BG11" i="3"/>
  <c r="BJ11" i="3" s="1"/>
  <c r="BG26" i="3"/>
  <c r="BJ26" i="3" s="1"/>
  <c r="BG36" i="3"/>
  <c r="BG21" i="3"/>
  <c r="BJ21" i="3" s="1"/>
  <c r="BG23" i="3"/>
  <c r="BG38" i="3"/>
  <c r="BJ38" i="3" s="1"/>
  <c r="BG12" i="3"/>
  <c r="BJ12" i="3" s="1"/>
  <c r="BG37" i="3"/>
  <c r="BJ37" i="3" s="1"/>
  <c r="BG33" i="3"/>
  <c r="BJ33" i="3" s="1"/>
  <c r="BG22" i="3"/>
  <c r="BG44" i="3"/>
  <c r="BJ44" i="3" s="1"/>
  <c r="BG32" i="3"/>
  <c r="BJ32" i="3" s="1"/>
  <c r="BG20" i="3"/>
  <c r="BJ20" i="3" s="1"/>
  <c r="BG7" i="3"/>
  <c r="BJ7" i="3" s="1"/>
  <c r="BG43" i="3"/>
  <c r="BG31" i="3"/>
  <c r="BG19" i="3"/>
  <c r="BJ19" i="3" s="1"/>
  <c r="BG6" i="3"/>
  <c r="BG42" i="3"/>
  <c r="BJ42" i="3" s="1"/>
  <c r="BG30" i="3"/>
  <c r="BJ30" i="3" s="1"/>
  <c r="BG18" i="3"/>
  <c r="BJ18" i="3" s="1"/>
  <c r="BG5" i="3"/>
  <c r="BG41" i="3"/>
  <c r="BJ41" i="3" s="1"/>
  <c r="BG29" i="3"/>
  <c r="BJ29" i="3" s="1"/>
  <c r="BG16" i="3"/>
  <c r="BJ16" i="3" s="1"/>
  <c r="BG4" i="3"/>
  <c r="BJ4" i="3" s="1"/>
  <c r="BG40" i="3"/>
  <c r="BG28" i="3"/>
  <c r="BG15" i="3"/>
  <c r="BG3" i="3"/>
  <c r="BJ3" i="3" s="1"/>
  <c r="BG39" i="3"/>
  <c r="BG27" i="3"/>
  <c r="BJ27" i="3" s="1"/>
  <c r="BG14" i="3"/>
  <c r="BJ14" i="3" s="1"/>
  <c r="BG2" i="3"/>
  <c r="AB33" i="11"/>
  <c r="AB35" i="11" s="1"/>
  <c r="B36" i="11" s="1"/>
  <c r="C35" i="12"/>
  <c r="C33" i="11"/>
  <c r="D33" i="11"/>
  <c r="E33" i="11"/>
  <c r="F33" i="11"/>
  <c r="G33" i="11"/>
  <c r="H33" i="11"/>
  <c r="I33" i="11"/>
  <c r="J33" i="11"/>
  <c r="K33" i="11"/>
  <c r="M33" i="11"/>
  <c r="N33" i="11"/>
  <c r="O33" i="11"/>
  <c r="P33" i="11"/>
  <c r="Q33" i="11"/>
  <c r="R33" i="11"/>
  <c r="S33" i="11"/>
  <c r="T33" i="11"/>
  <c r="U33" i="11"/>
  <c r="V33" i="11"/>
  <c r="B33" i="11"/>
  <c r="E33" i="10"/>
  <c r="E35" i="10" s="1"/>
  <c r="AR3" i="3"/>
  <c r="AR2" i="3"/>
  <c r="AR5" i="3"/>
  <c r="AR4" i="3"/>
  <c r="AR6" i="3"/>
  <c r="AR9" i="3"/>
  <c r="AR8" i="3"/>
  <c r="AR7" i="3"/>
  <c r="AR11" i="3"/>
  <c r="AR16" i="3"/>
  <c r="AR12" i="3"/>
  <c r="AR10" i="3"/>
  <c r="AR13" i="3"/>
  <c r="AR18" i="3"/>
  <c r="AR14" i="3"/>
  <c r="AR24" i="3"/>
  <c r="AR23" i="3"/>
  <c r="AR19" i="3"/>
  <c r="AR20" i="3"/>
  <c r="AR26" i="3"/>
  <c r="AR22" i="3"/>
  <c r="AR15" i="3"/>
  <c r="AR21" i="3"/>
  <c r="AR28" i="3"/>
  <c r="AR29" i="3"/>
  <c r="AR36" i="3"/>
  <c r="AR32" i="3"/>
  <c r="AR33" i="3"/>
  <c r="AR25" i="3"/>
  <c r="AR30" i="3"/>
  <c r="AR27" i="3"/>
  <c r="AR34" i="3"/>
  <c r="AR31" i="3"/>
  <c r="AR37" i="3"/>
  <c r="AR35" i="3"/>
  <c r="AR39" i="3"/>
  <c r="AR38" i="3"/>
  <c r="AR42" i="3"/>
  <c r="AR40" i="3"/>
  <c r="AR41" i="3"/>
  <c r="AR43" i="3"/>
  <c r="AR44" i="3"/>
  <c r="AQ3" i="3"/>
  <c r="AQ2" i="3"/>
  <c r="AQ5" i="3"/>
  <c r="AQ4" i="3"/>
  <c r="AQ6" i="3"/>
  <c r="AQ9" i="3"/>
  <c r="AQ8" i="3"/>
  <c r="AQ7" i="3"/>
  <c r="AQ11" i="3"/>
  <c r="AQ16" i="3"/>
  <c r="AQ12" i="3"/>
  <c r="AQ10" i="3"/>
  <c r="AQ13" i="3"/>
  <c r="AQ18" i="3"/>
  <c r="AQ14" i="3"/>
  <c r="AQ24" i="3"/>
  <c r="AQ23" i="3"/>
  <c r="AQ19" i="3"/>
  <c r="AQ20" i="3"/>
  <c r="AQ26" i="3"/>
  <c r="AQ22" i="3"/>
  <c r="AQ15" i="3"/>
  <c r="AQ21" i="3"/>
  <c r="AQ28" i="3"/>
  <c r="AQ29" i="3"/>
  <c r="AQ36" i="3"/>
  <c r="AQ32" i="3"/>
  <c r="AQ33" i="3"/>
  <c r="AQ25" i="3"/>
  <c r="AQ30" i="3"/>
  <c r="AQ27" i="3"/>
  <c r="AQ34" i="3"/>
  <c r="AQ31" i="3"/>
  <c r="AQ37" i="3"/>
  <c r="AQ35" i="3"/>
  <c r="AQ39" i="3"/>
  <c r="AQ38" i="3"/>
  <c r="AQ42" i="3"/>
  <c r="AQ40" i="3"/>
  <c r="AQ41" i="3"/>
  <c r="AQ43" i="3"/>
  <c r="AQ44" i="3"/>
  <c r="AP3" i="3"/>
  <c r="AP2" i="3"/>
  <c r="AP5" i="3"/>
  <c r="AP4" i="3"/>
  <c r="AP6" i="3"/>
  <c r="AP9" i="3"/>
  <c r="AP8" i="3"/>
  <c r="AP7" i="3"/>
  <c r="AP11" i="3"/>
  <c r="AP16" i="3"/>
  <c r="AP12" i="3"/>
  <c r="AP10" i="3"/>
  <c r="AP13" i="3"/>
  <c r="AP18" i="3"/>
  <c r="AP14" i="3"/>
  <c r="AP24" i="3"/>
  <c r="AP23" i="3"/>
  <c r="AP19" i="3"/>
  <c r="AP20" i="3"/>
  <c r="AP26" i="3"/>
  <c r="AP22" i="3"/>
  <c r="AP15" i="3"/>
  <c r="AP21" i="3"/>
  <c r="AP28" i="3"/>
  <c r="AP29" i="3"/>
  <c r="AP36" i="3"/>
  <c r="AP32" i="3"/>
  <c r="AP33" i="3"/>
  <c r="AP25" i="3"/>
  <c r="AP30" i="3"/>
  <c r="AP27" i="3"/>
  <c r="AP34" i="3"/>
  <c r="AP31" i="3"/>
  <c r="AP37" i="3"/>
  <c r="AP35" i="3"/>
  <c r="AP39" i="3"/>
  <c r="AP38" i="3"/>
  <c r="AP42" i="3"/>
  <c r="AP40" i="3"/>
  <c r="AP41" i="3"/>
  <c r="AP43" i="3"/>
  <c r="AP44" i="3"/>
  <c r="AO3" i="3"/>
  <c r="AO2" i="3"/>
  <c r="AO5" i="3"/>
  <c r="AO4" i="3"/>
  <c r="AO6" i="3"/>
  <c r="AO9" i="3"/>
  <c r="AO8" i="3"/>
  <c r="AO7" i="3"/>
  <c r="AO11" i="3"/>
  <c r="AO16" i="3"/>
  <c r="AO12" i="3"/>
  <c r="AO10" i="3"/>
  <c r="AO13" i="3"/>
  <c r="AO18" i="3"/>
  <c r="AO14" i="3"/>
  <c r="AO24" i="3"/>
  <c r="AO23" i="3"/>
  <c r="AO19" i="3"/>
  <c r="AO20" i="3"/>
  <c r="AO26" i="3"/>
  <c r="AO22" i="3"/>
  <c r="AO15" i="3"/>
  <c r="AO21" i="3"/>
  <c r="AO28" i="3"/>
  <c r="AO29" i="3"/>
  <c r="AO36" i="3"/>
  <c r="AO32" i="3"/>
  <c r="AO33" i="3"/>
  <c r="AO25" i="3"/>
  <c r="AO30" i="3"/>
  <c r="AO27" i="3"/>
  <c r="AO34" i="3"/>
  <c r="AO31" i="3"/>
  <c r="AO37" i="3"/>
  <c r="AO35" i="3"/>
  <c r="AO39" i="3"/>
  <c r="AO38" i="3"/>
  <c r="AO42" i="3"/>
  <c r="AO40" i="3"/>
  <c r="AO41" i="3"/>
  <c r="AO43" i="3"/>
  <c r="AO44" i="3"/>
  <c r="AJ3" i="3"/>
  <c r="AJ2" i="3"/>
  <c r="AJ5" i="3"/>
  <c r="AJ4" i="3"/>
  <c r="AJ6" i="3"/>
  <c r="AJ9" i="3"/>
  <c r="AJ8" i="3"/>
  <c r="AJ7" i="3"/>
  <c r="AJ11" i="3"/>
  <c r="AJ16" i="3"/>
  <c r="AJ12" i="3"/>
  <c r="AJ10" i="3"/>
  <c r="AJ13" i="3"/>
  <c r="AJ18" i="3"/>
  <c r="AJ14" i="3"/>
  <c r="AJ24" i="3"/>
  <c r="AJ23" i="3"/>
  <c r="AJ19" i="3"/>
  <c r="AJ20" i="3"/>
  <c r="AJ26" i="3"/>
  <c r="AJ22" i="3"/>
  <c r="AJ15" i="3"/>
  <c r="AJ21" i="3"/>
  <c r="AJ28" i="3"/>
  <c r="AJ29" i="3"/>
  <c r="AJ36" i="3"/>
  <c r="AJ32" i="3"/>
  <c r="AJ33" i="3"/>
  <c r="AJ25" i="3"/>
  <c r="AJ30" i="3"/>
  <c r="AJ27" i="3"/>
  <c r="AJ34" i="3"/>
  <c r="AJ31" i="3"/>
  <c r="AJ37" i="3"/>
  <c r="AJ35" i="3"/>
  <c r="AJ39" i="3"/>
  <c r="AJ38" i="3"/>
  <c r="AJ42" i="3"/>
  <c r="AJ40" i="3"/>
  <c r="AJ41" i="3"/>
  <c r="AJ43" i="3"/>
  <c r="AJ44" i="3"/>
  <c r="AI3" i="3"/>
  <c r="AI2" i="3"/>
  <c r="AI5" i="3"/>
  <c r="AI4" i="3"/>
  <c r="AI6" i="3"/>
  <c r="AI9" i="3"/>
  <c r="AI8" i="3"/>
  <c r="AI7" i="3"/>
  <c r="AI11" i="3"/>
  <c r="AI16" i="3"/>
  <c r="AI12" i="3"/>
  <c r="AI10" i="3"/>
  <c r="AI13" i="3"/>
  <c r="AI18" i="3"/>
  <c r="AI14" i="3"/>
  <c r="AI24" i="3"/>
  <c r="AI23" i="3"/>
  <c r="AI19" i="3"/>
  <c r="AI20" i="3"/>
  <c r="AI26" i="3"/>
  <c r="AI22" i="3"/>
  <c r="AI15" i="3"/>
  <c r="AI21" i="3"/>
  <c r="AI28" i="3"/>
  <c r="AI29" i="3"/>
  <c r="AI36" i="3"/>
  <c r="AI32" i="3"/>
  <c r="AI33" i="3"/>
  <c r="AI25" i="3"/>
  <c r="AI30" i="3"/>
  <c r="AI27" i="3"/>
  <c r="AI34" i="3"/>
  <c r="AI31" i="3"/>
  <c r="AI37" i="3"/>
  <c r="AI35" i="3"/>
  <c r="AI39" i="3"/>
  <c r="AI38" i="3"/>
  <c r="AI42" i="3"/>
  <c r="AI40" i="3"/>
  <c r="AI41" i="3"/>
  <c r="AI43" i="3"/>
  <c r="AI44" i="3"/>
  <c r="Q3" i="3"/>
  <c r="AH3" i="3"/>
  <c r="AH2" i="3"/>
  <c r="AH5" i="3"/>
  <c r="AH4" i="3"/>
  <c r="AH6" i="3"/>
  <c r="AH9" i="3"/>
  <c r="AH8" i="3"/>
  <c r="AH7" i="3"/>
  <c r="AH11" i="3"/>
  <c r="AH16" i="3"/>
  <c r="AH12" i="3"/>
  <c r="AH10" i="3"/>
  <c r="AH13" i="3"/>
  <c r="AH18" i="3"/>
  <c r="AH14" i="3"/>
  <c r="AH24" i="3"/>
  <c r="AH23" i="3"/>
  <c r="AH19" i="3"/>
  <c r="AH20" i="3"/>
  <c r="AH26" i="3"/>
  <c r="AH22" i="3"/>
  <c r="AH15" i="3"/>
  <c r="AH21" i="3"/>
  <c r="AH28" i="3"/>
  <c r="AH29" i="3"/>
  <c r="AH36" i="3"/>
  <c r="AH32" i="3"/>
  <c r="AH33" i="3"/>
  <c r="AH25" i="3"/>
  <c r="AH30" i="3"/>
  <c r="AH27" i="3"/>
  <c r="AH34" i="3"/>
  <c r="AH31" i="3"/>
  <c r="AH37" i="3"/>
  <c r="AH35" i="3"/>
  <c r="AH39" i="3"/>
  <c r="AH38" i="3"/>
  <c r="AH42" i="3"/>
  <c r="AH40" i="3"/>
  <c r="AH41" i="3"/>
  <c r="AH43" i="3"/>
  <c r="AH44" i="3"/>
  <c r="AG3" i="3"/>
  <c r="AG2" i="3"/>
  <c r="AG5" i="3"/>
  <c r="AG4" i="3"/>
  <c r="AG6" i="3"/>
  <c r="AG9" i="3"/>
  <c r="AG8" i="3"/>
  <c r="AG7" i="3"/>
  <c r="AG11" i="3"/>
  <c r="AG16" i="3"/>
  <c r="AG12" i="3"/>
  <c r="AG10" i="3"/>
  <c r="AG13" i="3"/>
  <c r="AG18" i="3"/>
  <c r="AG14" i="3"/>
  <c r="AG24" i="3"/>
  <c r="AG23" i="3"/>
  <c r="AG19" i="3"/>
  <c r="AG20" i="3"/>
  <c r="AG26" i="3"/>
  <c r="AG22" i="3"/>
  <c r="AG15" i="3"/>
  <c r="AG21" i="3"/>
  <c r="AG28" i="3"/>
  <c r="AG29" i="3"/>
  <c r="AG36" i="3"/>
  <c r="AG32" i="3"/>
  <c r="AG33" i="3"/>
  <c r="AG25" i="3"/>
  <c r="AG30" i="3"/>
  <c r="AG27" i="3"/>
  <c r="AG34" i="3"/>
  <c r="AG31" i="3"/>
  <c r="AG37" i="3"/>
  <c r="AG35" i="3"/>
  <c r="AG39" i="3"/>
  <c r="AG38" i="3"/>
  <c r="AG42" i="3"/>
  <c r="AG40" i="3"/>
  <c r="AG41" i="3"/>
  <c r="AG43" i="3"/>
  <c r="AG44" i="3"/>
  <c r="AF3" i="3"/>
  <c r="AF2" i="3"/>
  <c r="AF5" i="3"/>
  <c r="AF4" i="3"/>
  <c r="AF6" i="3"/>
  <c r="AF9" i="3"/>
  <c r="AF8" i="3"/>
  <c r="AF7" i="3"/>
  <c r="AF11" i="3"/>
  <c r="AF16" i="3"/>
  <c r="AF12" i="3"/>
  <c r="AF10" i="3"/>
  <c r="AF13" i="3"/>
  <c r="AF18" i="3"/>
  <c r="AF14" i="3"/>
  <c r="AF24" i="3"/>
  <c r="AF23" i="3"/>
  <c r="AF19" i="3"/>
  <c r="AF20" i="3"/>
  <c r="AF26" i="3"/>
  <c r="AF22" i="3"/>
  <c r="AF15" i="3"/>
  <c r="AF21" i="3"/>
  <c r="AF28" i="3"/>
  <c r="AF29" i="3"/>
  <c r="AF36" i="3"/>
  <c r="AF32" i="3"/>
  <c r="AF33" i="3"/>
  <c r="AF25" i="3"/>
  <c r="AF30" i="3"/>
  <c r="AF27" i="3"/>
  <c r="AF34" i="3"/>
  <c r="AF31" i="3"/>
  <c r="AF37" i="3"/>
  <c r="AF35" i="3"/>
  <c r="AF39" i="3"/>
  <c r="AF38" i="3"/>
  <c r="AF42" i="3"/>
  <c r="AF40" i="3"/>
  <c r="AF41" i="3"/>
  <c r="AF43" i="3"/>
  <c r="AF44" i="3"/>
  <c r="AE3" i="3"/>
  <c r="AE2" i="3"/>
  <c r="AE5" i="3"/>
  <c r="AE4" i="3"/>
  <c r="AE6" i="3"/>
  <c r="AE9" i="3"/>
  <c r="AE8" i="3"/>
  <c r="AE7" i="3"/>
  <c r="AE11" i="3"/>
  <c r="AE16" i="3"/>
  <c r="AE12" i="3"/>
  <c r="AE10" i="3"/>
  <c r="AE13" i="3"/>
  <c r="AE18" i="3"/>
  <c r="AE14" i="3"/>
  <c r="AE24" i="3"/>
  <c r="AE23" i="3"/>
  <c r="AE19" i="3"/>
  <c r="AE20" i="3"/>
  <c r="AE26" i="3"/>
  <c r="AE22" i="3"/>
  <c r="AE15" i="3"/>
  <c r="AE21" i="3"/>
  <c r="AE28" i="3"/>
  <c r="AE29" i="3"/>
  <c r="AE36" i="3"/>
  <c r="AE32" i="3"/>
  <c r="AE33" i="3"/>
  <c r="AE25" i="3"/>
  <c r="AE30" i="3"/>
  <c r="AE27" i="3"/>
  <c r="AE34" i="3"/>
  <c r="AE31" i="3"/>
  <c r="AE37" i="3"/>
  <c r="AE35" i="3"/>
  <c r="AE39" i="3"/>
  <c r="AE38" i="3"/>
  <c r="AE42" i="3"/>
  <c r="AE40" i="3"/>
  <c r="AE41" i="3"/>
  <c r="AE43" i="3"/>
  <c r="AE44" i="3"/>
  <c r="Q2" i="3"/>
  <c r="Q5" i="3"/>
  <c r="Q4" i="3"/>
  <c r="Q8" i="3"/>
  <c r="Q6" i="3"/>
  <c r="Q9" i="3"/>
  <c r="Q7" i="3"/>
  <c r="Q11" i="3"/>
  <c r="Q16" i="3"/>
  <c r="Q12" i="3"/>
  <c r="Q13" i="3"/>
  <c r="Q18" i="3"/>
  <c r="Q14" i="3"/>
  <c r="Q24" i="3"/>
  <c r="Q23" i="3"/>
  <c r="Q10" i="3"/>
  <c r="Q19" i="3"/>
  <c r="Q20" i="3"/>
  <c r="Q26" i="3"/>
  <c r="Q22" i="3"/>
  <c r="Q21" i="3"/>
  <c r="Q32" i="3"/>
  <c r="Q28" i="3"/>
  <c r="Q29" i="3"/>
  <c r="Q36" i="3"/>
  <c r="Q31" i="3"/>
  <c r="Q33" i="3"/>
  <c r="Q27" i="3"/>
  <c r="Q34" i="3"/>
  <c r="Q25" i="3"/>
  <c r="Q15" i="3"/>
  <c r="Q30" i="3"/>
  <c r="Q37" i="3"/>
  <c r="Q35" i="3"/>
  <c r="Q39" i="3"/>
  <c r="Q38" i="3"/>
  <c r="Q42" i="3"/>
  <c r="Q40" i="3"/>
  <c r="Q43" i="3"/>
  <c r="Q41" i="3"/>
  <c r="Q44" i="3"/>
  <c r="P3" i="3"/>
  <c r="P2" i="3"/>
  <c r="P5" i="3"/>
  <c r="P4" i="3"/>
  <c r="P8" i="3"/>
  <c r="P6" i="3"/>
  <c r="P9" i="3"/>
  <c r="P7" i="3"/>
  <c r="P11" i="3"/>
  <c r="P16" i="3"/>
  <c r="P12" i="3"/>
  <c r="P13" i="3"/>
  <c r="P18" i="3"/>
  <c r="P14" i="3"/>
  <c r="P24" i="3"/>
  <c r="P23" i="3"/>
  <c r="P10" i="3"/>
  <c r="P19" i="3"/>
  <c r="P20" i="3"/>
  <c r="P26" i="3"/>
  <c r="P22" i="3"/>
  <c r="P21" i="3"/>
  <c r="P32" i="3"/>
  <c r="P28" i="3"/>
  <c r="P29" i="3"/>
  <c r="P36" i="3"/>
  <c r="P31" i="3"/>
  <c r="P33" i="3"/>
  <c r="P27" i="3"/>
  <c r="P34" i="3"/>
  <c r="P25" i="3"/>
  <c r="P15" i="3"/>
  <c r="P30" i="3"/>
  <c r="P37" i="3"/>
  <c r="P35" i="3"/>
  <c r="P39" i="3"/>
  <c r="P38" i="3"/>
  <c r="P42" i="3"/>
  <c r="P40" i="3"/>
  <c r="P43" i="3"/>
  <c r="P41" i="3"/>
  <c r="P44" i="3"/>
  <c r="L8" i="3"/>
  <c r="M8" i="3"/>
  <c r="N8" i="3"/>
  <c r="O8" i="3"/>
  <c r="L32" i="3"/>
  <c r="M32" i="3"/>
  <c r="N32" i="3"/>
  <c r="O32" i="3"/>
  <c r="L2" i="3"/>
  <c r="M2" i="3"/>
  <c r="N2" i="3"/>
  <c r="O2" i="3"/>
  <c r="O3" i="3"/>
  <c r="O15" i="3"/>
  <c r="O4" i="3"/>
  <c r="O25" i="3"/>
  <c r="O27" i="3"/>
  <c r="O24" i="3"/>
  <c r="O16" i="3"/>
  <c r="O7" i="3"/>
  <c r="O31" i="3"/>
  <c r="O11" i="3"/>
  <c r="O30" i="3"/>
  <c r="O5" i="3"/>
  <c r="O10" i="3"/>
  <c r="O14" i="3"/>
  <c r="O6" i="3"/>
  <c r="O41" i="3"/>
  <c r="O35" i="3"/>
  <c r="O22" i="3"/>
  <c r="O9" i="3"/>
  <c r="O18" i="3"/>
  <c r="O20" i="3"/>
  <c r="O13" i="3"/>
  <c r="O37" i="3"/>
  <c r="O12" i="3"/>
  <c r="O23" i="3"/>
  <c r="O40" i="3"/>
  <c r="O44" i="3"/>
  <c r="O19" i="3"/>
  <c r="O42" i="3"/>
  <c r="O36" i="3"/>
  <c r="O21" i="3"/>
  <c r="O29" i="3"/>
  <c r="O26" i="3"/>
  <c r="O33" i="3"/>
  <c r="O43" i="3"/>
  <c r="O34" i="3"/>
  <c r="O28" i="3"/>
  <c r="O38" i="3"/>
  <c r="O39" i="3"/>
  <c r="N3" i="3"/>
  <c r="N15" i="3"/>
  <c r="N4" i="3"/>
  <c r="N25" i="3"/>
  <c r="N27" i="3"/>
  <c r="N24" i="3"/>
  <c r="N16" i="3"/>
  <c r="N7" i="3"/>
  <c r="N31" i="3"/>
  <c r="N11" i="3"/>
  <c r="N30" i="3"/>
  <c r="N5" i="3"/>
  <c r="N10" i="3"/>
  <c r="N14" i="3"/>
  <c r="N6" i="3"/>
  <c r="N41" i="3"/>
  <c r="N35" i="3"/>
  <c r="N22" i="3"/>
  <c r="N9" i="3"/>
  <c r="N18" i="3"/>
  <c r="N20" i="3"/>
  <c r="N13" i="3"/>
  <c r="N37" i="3"/>
  <c r="N12" i="3"/>
  <c r="N23" i="3"/>
  <c r="N40" i="3"/>
  <c r="N44" i="3"/>
  <c r="N19" i="3"/>
  <c r="N42" i="3"/>
  <c r="N36" i="3"/>
  <c r="N21" i="3"/>
  <c r="N29" i="3"/>
  <c r="N26" i="3"/>
  <c r="N33" i="3"/>
  <c r="N43" i="3"/>
  <c r="N34" i="3"/>
  <c r="N28" i="3"/>
  <c r="N38" i="3"/>
  <c r="N39" i="3"/>
  <c r="M3" i="3"/>
  <c r="M15" i="3"/>
  <c r="M4" i="3"/>
  <c r="M25" i="3"/>
  <c r="M27" i="3"/>
  <c r="M24" i="3"/>
  <c r="M16" i="3"/>
  <c r="M7" i="3"/>
  <c r="M31" i="3"/>
  <c r="M11" i="3"/>
  <c r="M30" i="3"/>
  <c r="M5" i="3"/>
  <c r="M10" i="3"/>
  <c r="M14" i="3"/>
  <c r="M6" i="3"/>
  <c r="M41" i="3"/>
  <c r="M35" i="3"/>
  <c r="M22" i="3"/>
  <c r="M9" i="3"/>
  <c r="M18" i="3"/>
  <c r="M20" i="3"/>
  <c r="M13" i="3"/>
  <c r="M37" i="3"/>
  <c r="M12" i="3"/>
  <c r="M23" i="3"/>
  <c r="M40" i="3"/>
  <c r="M44" i="3"/>
  <c r="M19" i="3"/>
  <c r="M42" i="3"/>
  <c r="M36" i="3"/>
  <c r="M21" i="3"/>
  <c r="M29" i="3"/>
  <c r="M26" i="3"/>
  <c r="M33" i="3"/>
  <c r="M43" i="3"/>
  <c r="M34" i="3"/>
  <c r="M28" i="3"/>
  <c r="M38" i="3"/>
  <c r="M39" i="3"/>
  <c r="L3" i="3"/>
  <c r="L15" i="3"/>
  <c r="L4" i="3"/>
  <c r="L25" i="3"/>
  <c r="L27" i="3"/>
  <c r="L24" i="3"/>
  <c r="L16" i="3"/>
  <c r="L7" i="3"/>
  <c r="L31" i="3"/>
  <c r="L11" i="3"/>
  <c r="L30" i="3"/>
  <c r="L5" i="3"/>
  <c r="L10" i="3"/>
  <c r="L14" i="3"/>
  <c r="L6" i="3"/>
  <c r="L41" i="3"/>
  <c r="L35" i="3"/>
  <c r="L22" i="3"/>
  <c r="L9" i="3"/>
  <c r="L18" i="3"/>
  <c r="L20" i="3"/>
  <c r="L13" i="3"/>
  <c r="L37" i="3"/>
  <c r="L12" i="3"/>
  <c r="L23" i="3"/>
  <c r="L40" i="3"/>
  <c r="L44" i="3"/>
  <c r="L19" i="3"/>
  <c r="L42" i="3"/>
  <c r="L36" i="3"/>
  <c r="L21" i="3"/>
  <c r="L29" i="3"/>
  <c r="L26" i="3"/>
  <c r="L33" i="3"/>
  <c r="L43" i="3"/>
  <c r="L34" i="3"/>
  <c r="L28" i="3"/>
  <c r="L38" i="3"/>
  <c r="L39" i="3"/>
  <c r="AL38" i="3" l="1"/>
  <c r="AK38" i="3" s="1"/>
  <c r="AL29" i="3"/>
  <c r="AK29" i="3" s="1"/>
  <c r="AL13" i="3"/>
  <c r="AK13" i="3" s="1"/>
  <c r="AL3" i="3"/>
  <c r="AK3" i="3" s="1"/>
  <c r="AS42" i="3"/>
  <c r="AL39" i="3"/>
  <c r="AK39" i="3" s="1"/>
  <c r="AL28" i="3"/>
  <c r="AK28" i="3" s="1"/>
  <c r="AL10" i="3"/>
  <c r="AK10" i="3" s="1"/>
  <c r="AS38" i="3"/>
  <c r="AS29" i="3"/>
  <c r="S8" i="3"/>
  <c r="R8" i="3" s="1"/>
  <c r="S11" i="3"/>
  <c r="R11" i="3" s="1"/>
  <c r="S33" i="3"/>
  <c r="R33" i="3" s="1"/>
  <c r="S13" i="3"/>
  <c r="R13" i="3" s="1"/>
  <c r="S43" i="3"/>
  <c r="R43" i="3" s="1"/>
  <c r="S37" i="3"/>
  <c r="R37" i="3" s="1"/>
  <c r="S30" i="3"/>
  <c r="R30" i="3" s="1"/>
  <c r="W35" i="11"/>
  <c r="L35" i="11"/>
  <c r="S44" i="3"/>
  <c r="R44" i="3" s="1"/>
  <c r="S4" i="3"/>
  <c r="R4" i="3" s="1"/>
  <c r="S39" i="3"/>
  <c r="R39" i="3" s="1"/>
  <c r="S6" i="3"/>
  <c r="R6" i="3" s="1"/>
  <c r="S20" i="3"/>
  <c r="R20" i="3" s="1"/>
  <c r="AL35" i="3"/>
  <c r="AK35" i="3" s="1"/>
  <c r="AS10" i="3"/>
  <c r="AL21" i="3"/>
  <c r="AK21" i="3" s="1"/>
  <c r="S29" i="3"/>
  <c r="R29" i="3" s="1"/>
  <c r="S18" i="3"/>
  <c r="R18" i="3" s="1"/>
  <c r="S7" i="3"/>
  <c r="R7" i="3" s="1"/>
  <c r="S32" i="3"/>
  <c r="R32" i="3" s="1"/>
  <c r="S31" i="3"/>
  <c r="R31" i="3" s="1"/>
  <c r="AL12" i="3"/>
  <c r="AK12" i="3" s="1"/>
  <c r="AS39" i="3"/>
  <c r="S21" i="3"/>
  <c r="R21" i="3" s="1"/>
  <c r="S9" i="3"/>
  <c r="R9" i="3" s="1"/>
  <c r="S16" i="3"/>
  <c r="R16" i="3" s="1"/>
  <c r="S36" i="3"/>
  <c r="R36" i="3" s="1"/>
  <c r="S26" i="3"/>
  <c r="R26" i="3" s="1"/>
  <c r="S22" i="3"/>
  <c r="R22" i="3" s="1"/>
  <c r="S24" i="3"/>
  <c r="R24" i="3" s="1"/>
  <c r="S42" i="3"/>
  <c r="R42" i="3" s="1"/>
  <c r="S35" i="3"/>
  <c r="R35" i="3" s="1"/>
  <c r="S27" i="3"/>
  <c r="R27" i="3" s="1"/>
  <c r="S19" i="3"/>
  <c r="R19" i="3" s="1"/>
  <c r="S41" i="3"/>
  <c r="R41" i="3" s="1"/>
  <c r="S25" i="3"/>
  <c r="R25" i="3" s="1"/>
  <c r="S14" i="3"/>
  <c r="R14" i="3" s="1"/>
  <c r="S38" i="3"/>
  <c r="R38" i="3" s="1"/>
  <c r="S40" i="3"/>
  <c r="R40" i="3" s="1"/>
  <c r="S15" i="3"/>
  <c r="R15" i="3" s="1"/>
  <c r="S28" i="3"/>
  <c r="R28" i="3" s="1"/>
  <c r="S23" i="3"/>
  <c r="R23" i="3" s="1"/>
  <c r="S10" i="3"/>
  <c r="R10" i="3" s="1"/>
  <c r="S3" i="3"/>
  <c r="R3" i="3" s="1"/>
  <c r="S34" i="3"/>
  <c r="R34" i="3" s="1"/>
  <c r="S12" i="3"/>
  <c r="R12" i="3" s="1"/>
  <c r="S5" i="3"/>
  <c r="R5" i="3" s="1"/>
  <c r="S2" i="3"/>
  <c r="R2" i="3" s="1"/>
  <c r="AS13" i="3"/>
  <c r="AS3" i="3"/>
  <c r="AS18" i="3"/>
  <c r="AS2" i="3"/>
  <c r="AL42" i="3"/>
  <c r="AK42" i="3" s="1"/>
  <c r="AL36" i="3"/>
  <c r="AK36" i="3" s="1"/>
  <c r="AL18" i="3"/>
  <c r="AK18" i="3" s="1"/>
  <c r="AS40" i="3"/>
  <c r="AL16" i="3"/>
  <c r="AK16" i="3" s="1"/>
  <c r="AS35" i="3"/>
  <c r="AL37" i="3"/>
  <c r="AK37" i="3" s="1"/>
  <c r="AL34" i="3"/>
  <c r="AK34" i="3" s="1"/>
  <c r="AL26" i="3"/>
  <c r="AK26" i="3" s="1"/>
  <c r="AL7" i="3"/>
  <c r="AK7" i="3" s="1"/>
  <c r="AS31" i="3"/>
  <c r="AS22" i="3"/>
  <c r="AS11" i="3"/>
  <c r="AL15" i="3"/>
  <c r="AK15" i="3" s="1"/>
  <c r="AS21" i="3"/>
  <c r="AS12" i="3"/>
  <c r="AS36" i="3"/>
  <c r="AS28" i="3"/>
  <c r="AL2" i="3"/>
  <c r="AK2" i="3" s="1"/>
  <c r="AL27" i="3"/>
  <c r="AK27" i="3" s="1"/>
  <c r="AL20" i="3"/>
  <c r="AK20" i="3" s="1"/>
  <c r="AL8" i="3"/>
  <c r="AK8" i="3" s="1"/>
  <c r="AS34" i="3"/>
  <c r="AS26" i="3"/>
  <c r="AL44" i="3"/>
  <c r="AK44" i="3" s="1"/>
  <c r="AS44" i="3"/>
  <c r="AL40" i="3"/>
  <c r="AK40" i="3" s="1"/>
  <c r="AL32" i="3"/>
  <c r="AK32" i="3" s="1"/>
  <c r="AL14" i="3"/>
  <c r="AK14" i="3" s="1"/>
  <c r="AL5" i="3"/>
  <c r="AK5" i="3" s="1"/>
  <c r="AS41" i="3"/>
  <c r="AS33" i="3"/>
  <c r="AS24" i="3"/>
  <c r="AS4" i="3"/>
  <c r="AL25" i="3"/>
  <c r="AK25" i="3" s="1"/>
  <c r="AL31" i="3"/>
  <c r="AK31" i="3" s="1"/>
  <c r="AL22" i="3"/>
  <c r="AK22" i="3" s="1"/>
  <c r="AL11" i="3"/>
  <c r="AK11" i="3" s="1"/>
  <c r="AS37" i="3"/>
  <c r="AS15" i="3"/>
  <c r="AS16" i="3"/>
  <c r="AS7" i="3"/>
  <c r="AL30" i="3"/>
  <c r="AK30" i="3" s="1"/>
  <c r="AL19" i="3"/>
  <c r="AK19" i="3" s="1"/>
  <c r="AL9" i="3"/>
  <c r="AK9" i="3" s="1"/>
  <c r="AS27" i="3"/>
  <c r="AS20" i="3"/>
  <c r="AS8" i="3"/>
  <c r="AL43" i="3"/>
  <c r="AK43" i="3" s="1"/>
  <c r="AS30" i="3"/>
  <c r="AS19" i="3"/>
  <c r="AS9" i="3"/>
  <c r="AL23" i="3"/>
  <c r="AK23" i="3" s="1"/>
  <c r="AL41" i="3"/>
  <c r="AK41" i="3" s="1"/>
  <c r="AL33" i="3"/>
  <c r="AK33" i="3" s="1"/>
  <c r="AL24" i="3"/>
  <c r="AK24" i="3" s="1"/>
  <c r="AL4" i="3"/>
  <c r="AK4" i="3" s="1"/>
  <c r="AS43" i="3"/>
  <c r="AS25" i="3"/>
  <c r="AS23" i="3"/>
  <c r="AS6" i="3"/>
  <c r="AL6" i="3"/>
  <c r="AK6" i="3" s="1"/>
  <c r="AS32" i="3"/>
  <c r="AS14" i="3"/>
  <c r="AS5" i="3"/>
  <c r="AT14" i="3"/>
  <c r="AT36" i="3"/>
  <c r="AT18" i="3"/>
  <c r="AT5" i="3"/>
  <c r="AT9" i="3"/>
  <c r="AT27" i="3"/>
  <c r="AT20" i="3"/>
  <c r="AT43" i="3"/>
  <c r="AT25" i="3"/>
  <c r="AT37" i="3"/>
  <c r="AT4" i="3"/>
  <c r="AT31" i="3"/>
  <c r="AT22" i="3"/>
  <c r="AT11" i="3"/>
  <c r="AT26" i="3"/>
  <c r="AT23" i="3"/>
  <c r="AT41" i="3"/>
  <c r="AT33" i="3"/>
  <c r="AT6" i="3"/>
  <c r="AT40" i="3"/>
  <c r="AT38" i="3"/>
  <c r="AT28" i="3"/>
  <c r="AT3" i="3"/>
  <c r="AT19" i="3"/>
  <c r="AT34" i="3"/>
  <c r="AT7" i="3"/>
  <c r="AT24" i="3"/>
  <c r="AT44" i="3"/>
  <c r="AT30" i="3"/>
  <c r="AT8" i="3"/>
  <c r="AT42" i="3"/>
  <c r="AT29" i="3"/>
  <c r="AT13" i="3"/>
  <c r="AT39" i="3"/>
  <c r="AT21" i="3"/>
  <c r="AT12" i="3"/>
  <c r="AT35" i="3"/>
  <c r="AT15" i="3"/>
  <c r="AT16" i="3"/>
  <c r="AT10" i="3"/>
  <c r="AT32" i="3"/>
  <c r="AT2" i="3"/>
  <c r="AM38" i="3"/>
  <c r="AM29" i="3"/>
  <c r="AM13" i="3"/>
  <c r="AM2" i="3"/>
  <c r="AM44" i="3"/>
  <c r="AM30" i="3"/>
  <c r="AM19" i="3"/>
  <c r="AM8" i="3"/>
  <c r="AM43" i="3"/>
  <c r="AM25" i="3"/>
  <c r="AM23" i="3"/>
  <c r="AM9" i="3"/>
  <c r="AM39" i="3"/>
  <c r="AM28" i="3"/>
  <c r="AM3" i="3"/>
  <c r="AM31" i="3"/>
  <c r="AM16" i="3"/>
  <c r="AM34" i="3"/>
  <c r="AM26" i="3"/>
  <c r="AM11" i="3"/>
  <c r="AM20" i="3"/>
  <c r="AM27" i="3"/>
  <c r="AM41" i="3"/>
  <c r="AM33" i="3"/>
  <c r="AM24" i="3"/>
  <c r="AM6" i="3"/>
  <c r="AM40" i="3"/>
  <c r="AM32" i="3"/>
  <c r="AM14" i="3"/>
  <c r="AM4" i="3"/>
  <c r="AM7" i="3"/>
  <c r="AM42" i="3"/>
  <c r="AM36" i="3"/>
  <c r="AM18" i="3"/>
  <c r="AM5" i="3"/>
  <c r="AM22" i="3"/>
  <c r="AM35" i="3"/>
  <c r="AM21" i="3"/>
  <c r="AM10" i="3"/>
  <c r="AM37" i="3"/>
  <c r="AM15" i="3"/>
  <c r="AM12" i="3"/>
  <c r="T15" i="3"/>
  <c r="T14" i="3"/>
  <c r="T40" i="3"/>
  <c r="T44" i="3"/>
  <c r="T6" i="3"/>
  <c r="T4" i="3"/>
  <c r="T19" i="3"/>
  <c r="T41" i="3"/>
  <c r="T25" i="3"/>
  <c r="T23" i="3"/>
  <c r="T10" i="3"/>
  <c r="T3" i="3"/>
  <c r="T8" i="3"/>
  <c r="T33" i="3"/>
  <c r="T34" i="3"/>
  <c r="T5" i="3"/>
  <c r="T43" i="3"/>
  <c r="T26" i="3"/>
  <c r="T20" i="3"/>
  <c r="T31" i="3"/>
  <c r="T7" i="3"/>
  <c r="T9" i="3"/>
  <c r="T36" i="3"/>
  <c r="T24" i="3"/>
  <c r="T42" i="3"/>
  <c r="T27" i="3"/>
  <c r="T38" i="3"/>
  <c r="T29" i="3"/>
  <c r="T13" i="3"/>
  <c r="T39" i="3"/>
  <c r="T28" i="3"/>
  <c r="T18" i="3"/>
  <c r="T37" i="3"/>
  <c r="T32" i="3"/>
  <c r="T12" i="3"/>
  <c r="T35" i="3"/>
  <c r="T21" i="3"/>
  <c r="T16" i="3"/>
  <c r="T30" i="3"/>
  <c r="T22" i="3"/>
  <c r="T11" i="3"/>
  <c r="T2" i="3"/>
  <c r="B35" i="11" l="1"/>
  <c r="C3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04B23D-140F-44DE-B94D-2E306EE94D61}" keepAlive="1" name="Query - MAD Alpha Calculation" description="Connection to the 'MAD Alpha Calculation' query in the workbook." type="5" refreshedVersion="8" background="1" saveData="1">
    <dbPr connection="Provider=Microsoft.Mashup.OleDb.1;Data Source=$Workbook$;Location=&quot;MAD Alpha Calculation&quot;;Extended Properties=&quot;&quot;" command="SELECT * FROM [MAD Alpha Calculation]"/>
  </connection>
  <connection id="2" xr16:uid="{47EA1437-0D32-4A9E-9815-C22D5C30585B}" keepAlive="1" name="Query - Score Hits Correlation" description="Connection to the 'Score Hits Correlation' query in the workbook." type="5" refreshedVersion="8" background="1" saveData="1">
    <dbPr connection="Provider=Microsoft.Mashup.OleDb.1;Data Source=$Workbook$;Location=&quot;Score Hits Correlation&quot;;Extended Properties=&quot;&quot;" command="SELECT * FROM [Score Hits Correlation]"/>
  </connection>
  <connection id="3" xr16:uid="{79EBA3A0-D644-44CE-BFD3-25ECB8820ECF}" keepAlive="1" name="Query - Spearman Calculation" description="Connection to the 'Spearman Calculation' query in the workbook." type="5" refreshedVersion="8" background="1" saveData="1">
    <dbPr connection="Provider=Microsoft.Mashup.OleDb.1;Data Source=$Workbook$;Location=&quot;Spearman Calculation&quot;;Extended Properties=&quot;&quot;" command="SELECT * FROM [Spearman Calculation]"/>
  </connection>
  <connection id="4" xr16:uid="{73EEA826-86A6-479B-8E53-7300DCEF3AC6}" keepAlive="1" name="Query - Summary" description="Connection to the 'Summary' query in the workbook." type="5" refreshedVersion="8" background="1" saveData="1">
    <dbPr connection="Provider=Microsoft.Mashup.OleDb.1;Data Source=$Workbook$;Location=Summary;Extended Properties=&quot;&quot;" command="SELECT * FROM [Summary]"/>
  </connection>
</connections>
</file>

<file path=xl/sharedStrings.xml><?xml version="1.0" encoding="utf-8"?>
<sst xmlns="http://schemas.openxmlformats.org/spreadsheetml/2006/main" count="1231" uniqueCount="428">
  <si>
    <t>doe</t>
  </si>
  <si>
    <t>My Love Mine All Mine</t>
  </si>
  <si>
    <t>All the Names of Waiting</t>
  </si>
  <si>
    <t>To Feel To Fall</t>
  </si>
  <si>
    <t>Metanoia</t>
  </si>
  <si>
    <t>Runes and Rituals</t>
  </si>
  <si>
    <t>But Daddy I Love Him</t>
  </si>
  <si>
    <t>A Year Abroad</t>
  </si>
  <si>
    <t>Flower of the North</t>
  </si>
  <si>
    <t>Learning To Dance</t>
  </si>
  <si>
    <t>Love Me Like You Do</t>
  </si>
  <si>
    <t>Shield and Star</t>
  </si>
  <si>
    <t>The Flower Shop</t>
  </si>
  <si>
    <t>To the You of 1994</t>
  </si>
  <si>
    <t>Until Tomorrow</t>
  </si>
  <si>
    <t>A Life in Letters</t>
  </si>
  <si>
    <t>Air</t>
  </si>
  <si>
    <t>Debts of Honor</t>
  </si>
  <si>
    <t>Finding their way back to love</t>
  </si>
  <si>
    <t>Hunting Shadows</t>
  </si>
  <si>
    <t>Letter of Survival</t>
  </si>
  <si>
    <t>Looks Can Be Deceiving</t>
  </si>
  <si>
    <t>The Observer Effect</t>
  </si>
  <si>
    <t>Alignment – Through the Arch</t>
  </si>
  <si>
    <t>Alignment</t>
  </si>
  <si>
    <t>canon-divergence</t>
  </si>
  <si>
    <t>post-war</t>
  </si>
  <si>
    <t>alternate reality</t>
  </si>
  <si>
    <t>Harry Potter and the Methods of Rationality</t>
  </si>
  <si>
    <t>The Pureblood Pretense</t>
  </si>
  <si>
    <t>All the Young Dudes</t>
  </si>
  <si>
    <t>The Prince of Slytherin</t>
  </si>
  <si>
    <t>A Black Comedy</t>
  </si>
  <si>
    <t>The Arithmancer</t>
  </si>
  <si>
    <t>Prince of the Dark Kingdom</t>
  </si>
  <si>
    <t>The Changeling</t>
  </si>
  <si>
    <t>The Debt of Time</t>
  </si>
  <si>
    <t>War solution</t>
  </si>
  <si>
    <t>https://archiveofourown.org/works?work_search%5Bsort_column%5D=revised_at&amp;work_search%5Bother_tag_names%5D=&amp;exclude_work_search%5Brelationship_ids%5D%5B%5D=3458&amp;exclude_work_search%5Brelationship_ids%5D%5B%5D=9510&amp;exclude_work_search%5Brelationship_ids%5D%5B%5D=10760&amp;work_search%5Bexcluded_tag_names%5D=Hermione+Granger%2FSeverus+Snape&amp;work_search%5Bcrossover%5D=F&amp;work_search%5Bcomplete%5D=&amp;work_search%5Bwords_from%5D=50000&amp;work_search%5Bwords_to%5D=&amp;work_search%5Bdate_from%5D=&amp;work_search%5Bdate_to%5D=&amp;work_search%5Bquery%5D=&amp;work_search%5Blanguage_id%5D=en&amp;commit=Sort+and+Filter&amp;tag_id=Hermione+Granger*s*Viktor+Krum</t>
  </si>
  <si>
    <t>AO3</t>
  </si>
  <si>
    <t>Primary Filter: Hermione Granger/Viktor Krum</t>
  </si>
  <si>
    <t>Exclude: Hermione Granger/ Ron Weasley, Draco Malfoy, Harry Potter, Severus Snape</t>
  </si>
  <si>
    <t>Exclude: crossovers of fandoms</t>
  </si>
  <si>
    <t>Word count: 50k+</t>
  </si>
  <si>
    <t>Language: English</t>
  </si>
  <si>
    <t>Baseset vs Sample</t>
  </si>
  <si>
    <t>This reduces the vikmione genre to about a good 100 works</t>
  </si>
  <si>
    <t>A life in letters &amp; Through the arch do not fit the filter, but I wanted them in there as well.</t>
  </si>
  <si>
    <t>Procedure</t>
  </si>
  <si>
    <t>Rubric uploaden</t>
  </si>
  <si>
    <t>Instructie toevoegen dat hij per categorie moet beoordelen op schaal 0-10 en dan ongewogen optellen</t>
  </si>
  <si>
    <t>Alle PDFs zelfde format: De AO3-download</t>
  </si>
  <si>
    <t>PDFs uploaden in ChatGPT &amp; tabel laten maken van file titels vs categorie scores</t>
  </si>
  <si>
    <t>Procedure 2x herhalen in onafhankelijke chats om random errors te schatten</t>
  </si>
  <si>
    <t>Methode: ChatGPT Plus met model GPT5.2</t>
  </si>
  <si>
    <t>File downloads: 5 maart 2026</t>
  </si>
  <si>
    <t>Sample selection: 4 januari 2026</t>
  </si>
  <si>
    <t>De rubric is specifiek gericht op vikmiones. Maar we passen hem hier ook toe om een methode te hebben om te kunnen beoordelen wat een hoge score precies betekent.</t>
  </si>
  <si>
    <t>We vragen ChatGPT zo goed mogelijk om de rubric te mappen naar non-vikmiones en bij andere hermelien-parings: Viktor in de rubric vervangen door haar andere partner.</t>
  </si>
  <si>
    <t>Hier geen PDFs uploaden maar ChatGPT gewoon vragen om een interne beoordeling</t>
  </si>
  <si>
    <t>Titel</t>
  </si>
  <si>
    <t>Vikmione Type</t>
  </si>
  <si>
    <t>FastNeutrons</t>
  </si>
  <si>
    <t>MayimOr</t>
  </si>
  <si>
    <t>articcat621</t>
  </si>
  <si>
    <t>https://archiveofourown.org/works/3402233</t>
  </si>
  <si>
    <t>https://archiveofourown.org/works/7933567</t>
  </si>
  <si>
    <t>paigevlindsay</t>
  </si>
  <si>
    <t>http://archiveofourown.org/works/18766738</t>
  </si>
  <si>
    <t>Calebski</t>
  </si>
  <si>
    <t>https://archiveofourown.org/works/73628601</t>
  </si>
  <si>
    <t>Benchmark</t>
  </si>
  <si>
    <t>https://archiveofourown.org/works/70894036</t>
  </si>
  <si>
    <t>https://archiveofourown.org/works/64982152</t>
  </si>
  <si>
    <t>PoppiesGrowOnVenus</t>
  </si>
  <si>
    <t>http://archiveofourown.org/works/23132749</t>
  </si>
  <si>
    <t>sareliz</t>
  </si>
  <si>
    <t>https://archiveofourown.org/works/79114106</t>
  </si>
  <si>
    <t>cementtblock</t>
  </si>
  <si>
    <t>http://archiveofourown.org/works/24098236</t>
  </si>
  <si>
    <t>Melissa1226</t>
  </si>
  <si>
    <t>http://archiveofourown.org/works/41745237</t>
  </si>
  <si>
    <t>Buddybee13</t>
  </si>
  <si>
    <t>https://archiveofourown.org/works/27111157</t>
  </si>
  <si>
    <t>Callmesalticidae</t>
  </si>
  <si>
    <t>http://archiveofourown.org/works/23468659</t>
  </si>
  <si>
    <t>TangentiaLives</t>
  </si>
  <si>
    <t>http://archiveofourown.org/works/5836018</t>
  </si>
  <si>
    <t>Bookhound89</t>
  </si>
  <si>
    <t>http://archiveofourown.org/works/56968588</t>
  </si>
  <si>
    <t>http://archiveofourown.org/works/3630213</t>
  </si>
  <si>
    <t>corvusdraconis</t>
  </si>
  <si>
    <t>https://archiveofourown.org/works/9362093.</t>
  </si>
  <si>
    <t>badluckvixen13 (fanaticmusings)</t>
  </si>
  <si>
    <t>http://archiveofourown.org/works/14504901</t>
  </si>
  <si>
    <t>FinnDecananas</t>
  </si>
  <si>
    <t>https://archiveofourown.org/works/62240974</t>
  </si>
  <si>
    <t>http://archiveofourown.org/works/20621435</t>
  </si>
  <si>
    <t>dyslexic_penquin</t>
  </si>
  <si>
    <t>http://archiveofourown.org/works/13657671</t>
  </si>
  <si>
    <t>LadyLightles</t>
  </si>
  <si>
    <t>https://archiveofourown.org/works/7544140</t>
  </si>
  <si>
    <t>https://archiveofourown.org/works/32711164</t>
  </si>
  <si>
    <t>tereyaglikedi</t>
  </si>
  <si>
    <t>https://archiveofourown.org/works/60848947</t>
  </si>
  <si>
    <t>https://archiveofourown.org/works/22915336</t>
  </si>
  <si>
    <t>KrumPuffer</t>
  </si>
  <si>
    <t>https://archiveofourown.org/works/73668556</t>
  </si>
  <si>
    <t>https://archiveofourown.org/works/24452869</t>
  </si>
  <si>
    <t>ReineP</t>
  </si>
  <si>
    <t>https://archiveofourown.org/works/51945343</t>
  </si>
  <si>
    <t>LittleChurro</t>
  </si>
  <si>
    <t>https://archiveofourown.org/works/41834889</t>
  </si>
  <si>
    <t>Ivy_Clarke</t>
  </si>
  <si>
    <t>nonjon</t>
  </si>
  <si>
    <t>MsKingBean89</t>
  </si>
  <si>
    <t>murkybluematter</t>
  </si>
  <si>
    <t>Mizuni-sama</t>
  </si>
  <si>
    <t>ShayaLonnie</t>
  </si>
  <si>
    <t>TheSinisterMan</t>
  </si>
  <si>
    <t>Annerb</t>
  </si>
  <si>
    <t>Eliezer Yudkowsky</t>
  </si>
  <si>
    <t>White Squirrel</t>
  </si>
  <si>
    <t>Hermione Granger and the silent country</t>
  </si>
  <si>
    <t>No more Trio</t>
  </si>
  <si>
    <t>There'll Never Be Enough of Us</t>
  </si>
  <si>
    <t>This Ship has Sailed</t>
  </si>
  <si>
    <t>https://archiveofourown.org/works/74098666</t>
  </si>
  <si>
    <t>Light to fight the shadows</t>
  </si>
  <si>
    <t>http://archiveofourown.org/works/30090315</t>
  </si>
  <si>
    <t>discoXena</t>
  </si>
  <si>
    <t>N</t>
  </si>
  <si>
    <t>Canon</t>
  </si>
  <si>
    <t>Psychology</t>
  </si>
  <si>
    <t>Romance</t>
  </si>
  <si>
    <t>Narrative</t>
  </si>
  <si>
    <t>Style</t>
  </si>
  <si>
    <t>Theme</t>
  </si>
  <si>
    <t>Worldbuild</t>
  </si>
  <si>
    <t>Viktor</t>
  </si>
  <si>
    <t>Original</t>
  </si>
  <si>
    <t>Integration</t>
  </si>
  <si>
    <t>A</t>
  </si>
  <si>
    <t>B</t>
  </si>
  <si>
    <t>C</t>
  </si>
  <si>
    <t>D</t>
  </si>
  <si>
    <t>Total</t>
  </si>
  <si>
    <t>Drift</t>
  </si>
  <si>
    <t>Full Alignment Series</t>
  </si>
  <si>
    <t>Isolation</t>
  </si>
  <si>
    <t>The Disappearances of Draco Malfoy</t>
  </si>
  <si>
    <t>E</t>
  </si>
  <si>
    <t>F</t>
  </si>
  <si>
    <t>Analysis</t>
  </si>
  <si>
    <t>Canon2</t>
  </si>
  <si>
    <t>Psychology2</t>
  </si>
  <si>
    <t>Romance2</t>
  </si>
  <si>
    <t>Narrative2</t>
  </si>
  <si>
    <t>Style2</t>
  </si>
  <si>
    <t>Theme2</t>
  </si>
  <si>
    <t>Worldbuild2</t>
  </si>
  <si>
    <t>Viktor2</t>
  </si>
  <si>
    <t>Original2</t>
  </si>
  <si>
    <t>Integration2</t>
  </si>
  <si>
    <t>A2</t>
  </si>
  <si>
    <t>B2</t>
  </si>
  <si>
    <t>C2</t>
  </si>
  <si>
    <t>D2</t>
  </si>
  <si>
    <t>E2</t>
  </si>
  <si>
    <t>F2</t>
  </si>
  <si>
    <t>Analysis2</t>
  </si>
  <si>
    <t>Total2</t>
  </si>
  <si>
    <t>Drift2</t>
  </si>
  <si>
    <t>Label</t>
  </si>
  <si>
    <t>Vikmione</t>
  </si>
  <si>
    <t>Series</t>
  </si>
  <si>
    <t>Aavg</t>
  </si>
  <si>
    <t>Bavg</t>
  </si>
  <si>
    <t>Cavg</t>
  </si>
  <si>
    <t>Davg</t>
  </si>
  <si>
    <t>T</t>
  </si>
  <si>
    <t>Delta</t>
  </si>
  <si>
    <t>Rank1</t>
  </si>
  <si>
    <t>Rank2</t>
  </si>
  <si>
    <t>Rank Diff Squared</t>
  </si>
  <si>
    <t>Sum of d^2</t>
  </si>
  <si>
    <t>Spearman Coefficient</t>
  </si>
  <si>
    <t>Variances</t>
  </si>
  <si>
    <t>Cronbach Alpha</t>
  </si>
  <si>
    <t>The disapperances of Draco Malfoy</t>
  </si>
  <si>
    <t>From these, manually read summaries, tags, etc. to distinguish smut from serious vikmione fanfics. Also eliminate fics where Hermione/Viktor do not appear to be endgame and/or the focus is not on their relationship.</t>
  </si>
  <si>
    <t>Deze zijn geselecteerd op basis van welke fanfics zijn de beste fanfics die er zijn? ChatGPT recommendation.</t>
  </si>
  <si>
    <t>stats measured at 9 april 2026</t>
  </si>
  <si>
    <t>Hits</t>
  </si>
  <si>
    <t>Kudos</t>
  </si>
  <si>
    <t>Comments</t>
  </si>
  <si>
    <t>Startdate6</t>
  </si>
  <si>
    <t>Status</t>
  </si>
  <si>
    <t>Complete</t>
  </si>
  <si>
    <t>Wordcount(k)</t>
  </si>
  <si>
    <t>WIP</t>
  </si>
  <si>
    <t>Type</t>
  </si>
  <si>
    <t>Time Delta</t>
  </si>
  <si>
    <t>Measurement Point</t>
  </si>
  <si>
    <t>Hits/Time</t>
  </si>
  <si>
    <t>Kudos/Hits</t>
  </si>
  <si>
    <t>Comments/Hits</t>
  </si>
  <si>
    <t>Average</t>
  </si>
  <si>
    <t>Variance</t>
  </si>
  <si>
    <t>Covariance</t>
  </si>
  <si>
    <t>RankT</t>
  </si>
  <si>
    <t>RankHits</t>
  </si>
  <si>
    <t>Squared Rank Diff</t>
  </si>
  <si>
    <t>Sum d^2</t>
  </si>
  <si>
    <t>Spearman</t>
  </si>
  <si>
    <t>Correlation</t>
  </si>
  <si>
    <t>Not a Vikmione</t>
  </si>
  <si>
    <t>Correction</t>
  </si>
  <si>
    <t>Clickability score</t>
  </si>
  <si>
    <t>Outliers</t>
  </si>
  <si>
    <t>Mainstream</t>
  </si>
  <si>
    <t>Extreme &amp; interesting AU, Author explicietly stated that she used it to test idea's for another novel, explaining why the Harry Potter rubric axes are weak, holding back the rubric score. But not the hits.</t>
  </si>
  <si>
    <t>Canon-div</t>
  </si>
  <si>
    <t>No direct war involvement; mostly pre-war emotional buildup.</t>
  </si>
  <si>
    <t>Limited scope and minimal broader plot impact.</t>
  </si>
  <si>
    <t>Alternate Reality</t>
  </si>
  <si>
    <t>War is background; not central to plot.</t>
  </si>
  <si>
    <t>Strong cultural/worldbuilding and relationship growth.</t>
  </si>
  <si>
    <t>War stakes feel distant and less impactful.</t>
  </si>
  <si>
    <t>Relationship develops from the Triwizard Tournament onward, expanding canon interactions.</t>
  </si>
  <si>
    <t>Strong emotional progression across canon timeline.</t>
  </si>
  <si>
    <t>Plot</t>
  </si>
  <si>
    <t>Deep moral complexity and war strategy.</t>
  </si>
  <si>
    <t>Postwar</t>
  </si>
  <si>
    <t>Slower pacing and less immediate plot tension.</t>
  </si>
  <si>
    <t>War not yet central.</t>
  </si>
  <si>
    <t>Fun character reinterpretation and dynamic chemistry.</t>
  </si>
  <si>
    <t>Less grounded in serious plot stakes.</t>
  </si>
  <si>
    <t>Viktor supports from afar and later engages in rebuilding.</t>
  </si>
  <si>
    <t>Rich worldbuilding and long-term consequences.</t>
  </si>
  <si>
    <t>Length and complexity may dilute focus.</t>
  </si>
  <si>
    <t>Strong emotional and coming-of-age elements.</t>
  </si>
  <si>
    <t>Limited impact on broader narrative stakes.</t>
  </si>
  <si>
    <t>After the war, Hermione escapes trauma and reconnects with Viktor, rebuilding their relationship.</t>
  </si>
  <si>
    <t>Viktor provides refuge and emotional support.</t>
  </si>
  <si>
    <t>Intense emotional healing and angst.</t>
  </si>
  <si>
    <t>Plot can feel secondary to drama.</t>
  </si>
  <si>
    <t>Unique dark tone and powerful characterizations.</t>
  </si>
  <si>
    <t>Heavy themes may overshadow romance.</t>
  </si>
  <si>
    <t>Expansive AU worldbuilding.</t>
  </si>
  <si>
    <t>Viktor remains mostly outside war efforts.</t>
  </si>
  <si>
    <t>Light tone and relationship focus.</t>
  </si>
  <si>
    <t>Less depth in larger narrative stakes.</t>
  </si>
  <si>
    <t>Post-war Hermione seeks refuge with Viktor while dealing with trauma and recovery.</t>
  </si>
  <si>
    <t>Viktor provides safety and emotional healing.</t>
  </si>
  <si>
    <t>Deep trauma exploration and healing arc.</t>
  </si>
  <si>
    <t>Dark themes may be overwhelming.</t>
  </si>
  <si>
    <t>Strong blend of philosophy and relationship.</t>
  </si>
  <si>
    <t>Limited scale due to isolated setting.</t>
  </si>
  <si>
    <t>Rich alternate character dynamics.</t>
  </si>
  <si>
    <t>War not central; more political/social conflicts.</t>
  </si>
  <si>
    <t>Creative AU concepts (soulmates, mythology).</t>
  </si>
  <si>
    <t>Can feel disconnected from canon stakes.</t>
  </si>
  <si>
    <t>Post-war story focusing on healing, relationships, and a concurrent mystery plot.</t>
  </si>
  <si>
    <t>Viktor supports in post-war recovery phase.</t>
  </si>
  <si>
    <t>Balanced healing and mystery elements.</t>
  </si>
  <si>
    <t>Strong emotional intensity in short form.</t>
  </si>
  <si>
    <t>Deep ethical dilemmas and character study.</t>
  </si>
  <si>
    <t>It begins from the post-Triwizard correspondence and extends the idea that Hermione and Viktor continue their connection instead of fading apart after GoF.</t>
  </si>
  <si>
    <t>Hermione is sent to Durmstrang in a postwar educational exchange; the exchange setting is the main premise rather than a prelude into familiar GoF canon.</t>
  </si>
  <si>
    <t>It is explicitly “Triwizard Tournament, and beyond,” so it reads as a GoF-based continuation rather than a disconnected AU premise.</t>
  </si>
  <si>
    <t>The author explicitly says canon is followed through year 5 and that the AU depends on Hermione and Viktor becoming/staying serious from that earlier canon connection; it is still fundamentally a “what changes if Vikmione continues?” fic.</t>
  </si>
  <si>
    <t>It is a GoF retelling/reworking centered on fourth year and Viktor’s entrance into Hermione’s life.</t>
  </si>
  <si>
    <t>It starts after the war, and both the letters and the story frame are built around injury, aftermath, rebuilding, and healing.</t>
  </si>
  <si>
    <t>It is a Triwizard-era romance AU, so it still fits the GoF-starting branch better than Alternate Reality.</t>
  </si>
  <si>
    <t>The summary explicitly says the war has ended and Hermione’s pain is only beginning, which places the fic in recovery/aftermath territory.</t>
  </si>
  <si>
    <t>Your correction is right: the divergence happens in second year, with Hogwarts closed and Hermione relocated to Durmstrang; that is too structurally different to count as GoF canon-div under your rubric.</t>
  </si>
  <si>
    <t>Hermione is a Beauxbatons student in a large-scale AU beginning well before GoF; even though Triwizard appears, the fic’s core setting is a fundamentally different life path.</t>
  </si>
  <si>
    <t>It starts just before GoF, in Bulgaria, and is explicitly tagged as pre–Quidditch World Cup / canon divergence tied to the GoF period.</t>
  </si>
  <si>
    <t>Its premise is basically “what if they did not drift apart but stayed together despite what comes,” which is exactly your canon-div logic.</t>
  </si>
  <si>
    <t>It opens after the Battle of Hogwarts, with Hermione writing to Viktor for support and safety; healing is central.</t>
  </si>
  <si>
    <t>Intermezzo</t>
  </si>
  <si>
    <t>This is the clearest new fit for the added category: a DH-era interruption/visit during the Horcrux hunt, with emotional importance but not a full-scale reengineering of the HP plot.</t>
  </si>
  <si>
    <t>Even though some divergences begin earlier, the summary explicitly says it follows canon mostly until the end of GoF and then detours, so under your scheme it still belongs with canon-div rather than full Alternate Reality.</t>
  </si>
  <si>
    <t>Marriage law, soulmates, past lives, and a heavily reworked magical-social framework place it well outside a GoF-continuation or postwar-healing structure.</t>
  </si>
  <si>
    <t>It is explicitly tagged post-war/PTSD and built around trauma recovery.</t>
  </si>
  <si>
    <t>This one-shot happens on the eve of DH flight / just before Bill and Fleur’s wedding, with Hermione arranging a private meeting with Viktor under the shadow of war; that fits your “short intersect” definition better than canon-div.</t>
  </si>
  <si>
    <t>After the war, Hermione returns from years of mastery study and collides with Viktor in a marriage-law plot shaped by ritual magic, old lore, and Ministry politics.</t>
  </si>
  <si>
    <t>Viktor does not fight in the canon war plot here; his main “war solution” role is surviving the aftermath, escaping one marriage law, and becoming part of Hermione’s postwar restructuring of life and magic.</t>
  </si>
  <si>
    <t>Viktor is already integrated into the resistance-side strategy before the war fully unfolds; he helps protect Harry and Hermione and is part of the group countering Dumbledore’s manipulation.</t>
  </si>
  <si>
    <t>Years after Hogwarts and after the war, Hermione works as a mediwitch in Bulgaria, reconnects with Viktor through the Vratsa Vultures and Blaguna’s flower shop, and rebuilds a love that survived silence, war, and separation.</t>
  </si>
  <si>
    <t>Viktor did not join Harry’s canon war mission; instead, the war’s role is separation, unanswered letters, and the damage both must live through before finding each other again.</t>
  </si>
  <si>
    <t>A decade after Voldemort’s fall, Auror Viktor investigates terrorism and international magical crime in a fragile postwar world while Hermione’s research becomes entangled with the case.</t>
  </si>
  <si>
    <t>Viktor does not join the core war action; instead he waits, writes, remains emotionally tethered to Hermione, and is kept at a distance from her wartime burden.</t>
  </si>
  <si>
    <t>Starting as early as 1992 and ranging across Hogwarts, Durmstrang, and other international settings, the story explores Hermione’s growth and Viktor’s life with an affliction through expansive worldbuilding that only loosely “plays around canon.”</t>
  </si>
  <si>
    <t>No clear canon-war solution is central yet; the story is more about formative development, relationships, learning, and Viktor’s personal challenges than the Voldemort war itself.</t>
  </si>
  <si>
    <t>A GoF reimagining where Hermione falls for Viktor while juggling house-elf activism, friendship crises, dark magic, and mystery.</t>
  </si>
  <si>
    <t>The war itself is not yet central; this is primarily a fourth-year reworking that sets up a different emotional and plot trajectory before the Voldemort endgame.</t>
  </si>
  <si>
    <t>This is post-canon, time-travel, alternate-timeline metafiction. It is not GoF-based canon-div, and it is not primarily a war-healing reunion either. Its core setting is structurally outside ordinary canon, so alternate reality fits best.</t>
  </si>
  <si>
    <t>Although divergence begins after PoA, the fic is still built to run directly into a reworked fourth year / Triwizard trajectory rather than relocating Hermione into a wholly separate reality. Under your narrower scheme, this still fits canon-div better than alternate reality.</t>
  </si>
  <si>
    <t>The defining event is a short post-GoF summer visit to Bulgaria. Even though the relationship echoes into later years, the story is not primarily “what if they stayed together and changed HP canon?” It is closer to a strong intersect that leaves the larger canon largely intact.</t>
  </si>
  <si>
    <t>Focus</t>
  </si>
  <si>
    <t>Plot Summary</t>
  </si>
  <si>
    <t>Strongest Point</t>
  </si>
  <si>
    <t>Weakest Point</t>
  </si>
  <si>
    <t>Type Justification</t>
  </si>
  <si>
    <t>Complexity can be overwhelming</t>
  </si>
  <si>
    <t>Extremely large scope.</t>
  </si>
  <si>
    <r>
      <t xml:space="preserve">The best element is the </t>
    </r>
    <r>
      <rPr>
        <b/>
        <sz val="10"/>
        <color theme="1"/>
        <rFont val="Calibri"/>
        <family val="2"/>
        <scheme val="minor"/>
      </rPr>
      <t>meta-ethical treatment of alternate timelines and consequences</t>
    </r>
    <r>
      <rPr>
        <sz val="10"/>
        <color theme="1"/>
        <rFont val="Calibri"/>
        <family val="2"/>
        <scheme val="minor"/>
      </rPr>
      <t>.</t>
    </r>
  </si>
  <si>
    <r>
      <t xml:space="preserve">The weakest element is that the central conflict is driven more by </t>
    </r>
    <r>
      <rPr>
        <b/>
        <sz val="10"/>
        <color theme="1"/>
        <rFont val="Calibri"/>
        <family val="2"/>
        <scheme val="minor"/>
      </rPr>
      <t>marriage-law mechanics</t>
    </r>
    <r>
      <rPr>
        <sz val="10"/>
        <color theme="1"/>
        <rFont val="Calibri"/>
        <family val="2"/>
        <scheme val="minor"/>
      </rPr>
      <t xml:space="preserve"> than by wider wizarding-world consequences.</t>
    </r>
  </si>
  <si>
    <r>
      <t xml:space="preserve">The best element is the </t>
    </r>
    <r>
      <rPr>
        <b/>
        <sz val="10"/>
        <color theme="1"/>
        <rFont val="Calibri"/>
        <family val="2"/>
        <scheme val="minor"/>
      </rPr>
      <t>gentle postwar reconnection in Bulgaria</t>
    </r>
    <r>
      <rPr>
        <sz val="10"/>
        <color theme="1"/>
        <rFont val="Calibri"/>
        <family val="2"/>
        <scheme val="minor"/>
      </rPr>
      <t>, especially the emotional role of the flower shop as a place of healing and belonging.</t>
    </r>
  </si>
  <si>
    <r>
      <t xml:space="preserve">The weakest element is that the larger war consequences stay mostly </t>
    </r>
    <r>
      <rPr>
        <b/>
        <sz val="10"/>
        <color theme="1"/>
        <rFont val="Calibri"/>
        <family val="2"/>
        <scheme val="minor"/>
      </rPr>
      <t>personal and domestic</t>
    </r>
    <r>
      <rPr>
        <sz val="10"/>
        <color theme="1"/>
        <rFont val="Calibri"/>
        <family val="2"/>
        <scheme val="minor"/>
      </rPr>
      <t>, rather than deeply political or strategic.</t>
    </r>
  </si>
  <si>
    <r>
      <t xml:space="preserve">The weakest element is that the fic’s core energy often sits more in </t>
    </r>
    <r>
      <rPr>
        <b/>
        <sz val="10"/>
        <color theme="1"/>
        <rFont val="Calibri"/>
        <family val="2"/>
        <scheme val="minor"/>
      </rPr>
      <t>casework and politics</t>
    </r>
    <r>
      <rPr>
        <sz val="10"/>
        <color theme="1"/>
        <rFont val="Calibri"/>
        <family val="2"/>
        <scheme val="minor"/>
      </rPr>
      <t xml:space="preserve"> than in the romance itself.</t>
    </r>
  </si>
  <si>
    <r>
      <t xml:space="preserve">The best element is the </t>
    </r>
    <r>
      <rPr>
        <b/>
        <sz val="10"/>
        <color theme="1"/>
        <rFont val="Calibri"/>
        <family val="2"/>
        <scheme val="minor"/>
      </rPr>
      <t>international, language-and-culture-heavy worldbuilding</t>
    </r>
    <r>
      <rPr>
        <sz val="10"/>
        <color theme="1"/>
        <rFont val="Calibri"/>
        <family val="2"/>
        <scheme val="minor"/>
      </rPr>
      <t xml:space="preserve"> around Hermione and Viktor.</t>
    </r>
  </si>
  <si>
    <r>
      <t xml:space="preserve">The weakest element is that the story’s breadth makes it feel </t>
    </r>
    <r>
      <rPr>
        <b/>
        <sz val="10"/>
        <color theme="1"/>
        <rFont val="Calibri"/>
        <family val="2"/>
        <scheme val="minor"/>
      </rPr>
      <t>less anchored to a specific canon conflict</t>
    </r>
    <r>
      <rPr>
        <sz val="10"/>
        <color theme="1"/>
        <rFont val="Calibri"/>
        <family val="2"/>
        <scheme val="minor"/>
      </rPr>
      <t>.</t>
    </r>
  </si>
  <si>
    <r>
      <t xml:space="preserve">It is a branch from </t>
    </r>
    <r>
      <rPr>
        <i/>
        <sz val="10"/>
        <color theme="1"/>
        <rFont val="Calibri"/>
        <family val="2"/>
        <scheme val="minor"/>
      </rPr>
      <t>Alignment</t>
    </r>
    <r>
      <rPr>
        <sz val="10"/>
        <color theme="1"/>
        <rFont val="Calibri"/>
        <family val="2"/>
        <scheme val="minor"/>
      </rPr>
      <t xml:space="preserve"> and explicitly defined by Hermione and Viktor staying together after the Triwizard connection; the story’s whole question is what that does to canon relationships and the war.</t>
    </r>
  </si>
  <si>
    <r>
      <t xml:space="preserve">It explicitly starts </t>
    </r>
    <r>
      <rPr>
        <sz val="10"/>
        <color theme="1"/>
        <rFont val="Calibri"/>
        <family val="2"/>
        <scheme val="minor"/>
      </rPr>
      <t>after the war, with Hermione returning from postwar mastery study and the plot grounded in rebuilding life, magical practice, and adult political structures rather than GoF continuity.</t>
    </r>
  </si>
  <si>
    <r>
      <t xml:space="preserve">The romance begins years later in a life clearly shaped by the </t>
    </r>
    <r>
      <rPr>
        <sz val="10"/>
        <color theme="1"/>
        <rFont val="Calibri"/>
        <family val="2"/>
        <scheme val="minor"/>
      </rPr>
      <t>aftermath of war, Hermione’s need for purpose, and the emotional damage of separation. The war is not just background history; it explains the whole setup.</t>
    </r>
  </si>
  <si>
    <r>
      <t xml:space="preserve">This is a decade-later fic, but the summary makes clear that the </t>
    </r>
    <r>
      <rPr>
        <sz val="10"/>
        <color theme="1"/>
        <rFont val="Calibri"/>
        <family val="2"/>
        <scheme val="minor"/>
      </rPr>
      <t>instability of the postwar wizarding world is the engine of the plot. That keeps it in postwar rather than generic alternate reality.</t>
    </r>
  </si>
  <si>
    <r>
      <t xml:space="preserve">It starts in </t>
    </r>
    <r>
      <rPr>
        <sz val="10"/>
        <color theme="1"/>
        <rFont val="Calibri"/>
        <family val="2"/>
        <scheme val="minor"/>
      </rPr>
      <t>fourth year, builds from Yule Ball / library interactions, and explicitly carries that relationship forward through later canon, which is exactly your canon-div model.</t>
    </r>
  </si>
  <si>
    <r>
      <t xml:space="preserve">It starts as early as </t>
    </r>
    <r>
      <rPr>
        <sz val="10"/>
        <color theme="1"/>
        <rFont val="Calibri"/>
        <family val="2"/>
        <scheme val="minor"/>
      </rPr>
      <t>1992, expands into international schools and invented affliction/worldbuilding, and only “plays around canon.” That is too structurally different from your GoF-starting canon-div definition.</t>
    </r>
  </si>
  <si>
    <r>
      <t xml:space="preserve">Despite demon deals, magical bonds, and ritual additions, the fic is still fundamentally a </t>
    </r>
    <r>
      <rPr>
        <sz val="10"/>
        <color theme="1"/>
        <rFont val="Calibri"/>
        <family val="2"/>
        <scheme val="minor"/>
      </rPr>
      <t>1994 / Triwizard Vikmione story that reworks GoF from inside that era rather than replacing the setting wholesale.</t>
    </r>
  </si>
  <si>
    <r>
      <t xml:space="preserve">It is explicitly a </t>
    </r>
    <r>
      <rPr>
        <sz val="10"/>
        <color theme="1"/>
        <rFont val="Calibri"/>
        <family val="2"/>
        <scheme val="minor"/>
      </rPr>
      <t>Goblet of Fire reimagining, with Hermione/Viktor romance embedded in book 4 mystery and plot. That is almost the cleanest possible canon-div fit.</t>
    </r>
  </si>
  <si>
    <t>Viktor actively joins Hermione in a ruthless, strategic Horcrux hunt, reshaping the outcome of the war.</t>
  </si>
  <si>
    <t>AU where Hermione leaves Hogwarts for Viktor in Bulgaria and Dumbledore has to find an alternative for letting the trio search for horcruxes.</t>
  </si>
  <si>
    <t>Hermione and Viktor's library friendship in GoF grows into romance and continues forward through later school years and into Deathly Hallows.</t>
  </si>
  <si>
    <t>Set in 1994 around the Triwizard Tournament, the fic intensifies the GoF connection with magical bonds, Slavic rituals, dark magic, and a much more mythic and intimate Hermione/Viktor relationship.</t>
  </si>
  <si>
    <t>AU where Snape mentors Hermione, altering her path and relationships, including Viktor.</t>
  </si>
  <si>
    <t>Hermione Granger and Viktor Krum maintain a relationship after the Triwizard Tournament. The story is told in the form of letters.</t>
  </si>
  <si>
    <t>A GoF reinterpretation, focusing on Hermione and Viktor’s early romantic development.</t>
  </si>
  <si>
    <t>AU retelling of GoF events with a more rebellious Hermione and intensified relationship.</t>
  </si>
  <si>
    <t>Viktor participates in the war contextually.</t>
  </si>
  <si>
    <t>Viktor’s wartime role is not yet in the main point; at this stage he is being positioned as Hermione’s magically significant partner before the later war period.</t>
  </si>
  <si>
    <t>Viktor’s final war role appears to be as Hermione’s continuing partner across the war years, but as this is WIP, the full wartime resolution is still unknown.</t>
  </si>
  <si>
    <t>Viktor takes Hermione with him to Bulgaria, preventing her from ever having to fight the war.</t>
  </si>
  <si>
    <t>Viktor remains external to core war effort, as the story is WIP and stops after Ootp.</t>
  </si>
  <si>
    <t>Viktor directly joins the Horcrux hunt and significantly alters the war outcome.</t>
  </si>
  <si>
    <t>Intimate epistolary format, that enhances the emotional depth.</t>
  </si>
  <si>
    <t>Very long with inconsistent pacing.</t>
  </si>
  <si>
    <r>
      <t xml:space="preserve">Bcaused the work is still incomplete, its full larger-war payoff remains </t>
    </r>
    <r>
      <rPr>
        <b/>
        <sz val="10"/>
        <color theme="1"/>
        <rFont val="Calibri"/>
        <family val="2"/>
        <scheme val="minor"/>
      </rPr>
      <t>unresolved</t>
    </r>
    <r>
      <rPr>
        <sz val="10"/>
        <color theme="1"/>
        <rFont val="Calibri"/>
        <family val="2"/>
        <scheme val="minor"/>
      </rPr>
      <t>.</t>
    </r>
  </si>
  <si>
    <r>
      <t xml:space="preserve">The </t>
    </r>
    <r>
      <rPr>
        <sz val="10"/>
        <color theme="1"/>
        <rFont val="Calibri"/>
        <family val="2"/>
        <scheme val="minor"/>
      </rPr>
      <t>balance between romance and mystery inside a recognizably GoF framework.</t>
    </r>
  </si>
  <si>
    <r>
      <t xml:space="preserve">The </t>
    </r>
    <r>
      <rPr>
        <sz val="10"/>
        <color theme="1"/>
        <rFont val="Calibri"/>
        <family val="2"/>
        <scheme val="minor"/>
      </rPr>
      <t>slow emotional accumulation from the Yule Ball era and intimacy onward.</t>
    </r>
  </si>
  <si>
    <r>
      <t xml:space="preserve">The </t>
    </r>
    <r>
      <rPr>
        <sz val="10"/>
        <color theme="1"/>
        <rFont val="Calibri"/>
        <family val="2"/>
        <scheme val="minor"/>
      </rPr>
      <t>ritual-heavy, culturally specific expansion of Viktor’s side of the world.</t>
    </r>
  </si>
  <si>
    <r>
      <t xml:space="preserve">The </t>
    </r>
    <r>
      <rPr>
        <b/>
        <sz val="10"/>
        <color theme="1"/>
        <rFont val="Calibri"/>
        <family val="2"/>
        <scheme val="minor"/>
      </rPr>
      <t>high-stakes conspiracy plot</t>
    </r>
    <r>
      <rPr>
        <sz val="10"/>
        <color theme="1"/>
        <rFont val="Calibri"/>
        <family val="2"/>
        <scheme val="minor"/>
      </rPr>
      <t>: Hermione’s altered education has immediate political and magical consequences.</t>
    </r>
  </si>
  <si>
    <r>
      <t xml:space="preserve">The </t>
    </r>
    <r>
      <rPr>
        <b/>
        <sz val="10"/>
        <color theme="1"/>
        <rFont val="Calibri"/>
        <family val="2"/>
        <scheme val="minor"/>
      </rPr>
      <t>Vikmione relationship is mostly a setup rather than a fully developed romance</t>
    </r>
    <r>
      <rPr>
        <sz val="10"/>
        <color theme="1"/>
        <rFont val="Calibri"/>
        <family val="2"/>
        <scheme val="minor"/>
      </rPr>
      <t>.</t>
    </r>
  </si>
  <si>
    <t>The added dark/ritual mechanics can pull the story a bit away from the cleaner emotional line of GoF.</t>
  </si>
  <si>
    <r>
      <t xml:space="preserve">As the story is spanning many years, the plot can feel </t>
    </r>
    <r>
      <rPr>
        <b/>
        <sz val="10"/>
        <color theme="1"/>
        <rFont val="Calibri"/>
        <family val="2"/>
        <scheme val="minor"/>
      </rPr>
      <t>broad and diffuse</t>
    </r>
    <r>
      <rPr>
        <sz val="10"/>
        <color theme="1"/>
        <rFont val="Calibri"/>
        <family val="2"/>
        <scheme val="minor"/>
      </rPr>
      <t xml:space="preserve"> rather than sharply concentrated.</t>
    </r>
  </si>
  <si>
    <t>Less focus on the wider plot consequences.</t>
  </si>
  <si>
    <t>Short, emotional exploration of Hermione and Viktor’s relationship between HBP and DH.</t>
  </si>
  <si>
    <t>Limited depth due to its length.</t>
  </si>
  <si>
    <t>Hermione visits Viktor in Bulgaria after GoF; the story then stretches across years with letters, interruption, war, and eventually they are reunited.</t>
  </si>
  <si>
    <r>
      <t xml:space="preserve">The </t>
    </r>
    <r>
      <rPr>
        <b/>
        <sz val="10"/>
        <color theme="1"/>
        <rFont val="Calibri"/>
        <family val="2"/>
        <scheme val="minor"/>
      </rPr>
      <t>intensity of the temporary connection</t>
    </r>
    <r>
      <rPr>
        <sz val="10"/>
        <color theme="1"/>
        <rFont val="Calibri"/>
        <family val="2"/>
        <scheme val="minor"/>
      </rPr>
      <t xml:space="preserve"> and the sense of a love deferred rather than erased.</t>
    </r>
  </si>
  <si>
    <r>
      <t xml:space="preserve">The relationship has </t>
    </r>
    <r>
      <rPr>
        <b/>
        <sz val="10"/>
        <color theme="1"/>
        <rFont val="Calibri"/>
        <family val="2"/>
        <scheme val="minor"/>
      </rPr>
      <t>little effect on the larger HP plot.</t>
    </r>
  </si>
  <si>
    <t>The war is mostly background.</t>
  </si>
  <si>
    <t>Hermione trains in Bulgaria and grows closer to Viktor between PoS and GoF.</t>
  </si>
  <si>
    <t>The war is not yet central; The story is pre-war development.</t>
  </si>
  <si>
    <t>Strong slow-burn relationship integrated with a good plot.</t>
  </si>
  <si>
    <t>The story has a limited impact on main HP events.</t>
  </si>
  <si>
    <t>During the Horcrux hunt, Hermione and Harry visit Viktor and Hermione and Viktor reconnect while forced into isolation.</t>
  </si>
  <si>
    <t>Viktor is indirectly involved during the Horcrux hunt.</t>
  </si>
  <si>
    <t>Explores a destiny-bound relationship between Hermione and Viktor starting from Hogwarts years. The story ends after GoF and plans on a sequal, but that sequal does not exist.</t>
  </si>
  <si>
    <t>Complete, but sequal misses</t>
  </si>
  <si>
    <t>Complete, but sequel misses</t>
  </si>
  <si>
    <t>Beginning between third and fourth year, Hermione gets a “unique educational opportunity,” uncovers Dumbledore as an active threat, and becomes part of a much more strategic anti-Dumbledore / anti-manipulation fourth-year storyline around the Triwizard setup. It is part of a series, but the sequel misses.</t>
  </si>
  <si>
    <t>Hermione is sent to Durmstrang in a student exchange and builds a relationship with Viktor in a foreign setting. The horcruxes are already destroyed before Hermione leaves to Durmstrang.</t>
  </si>
  <si>
    <t>Hermione studies abroad in France in a heavy AU setting with altered canon elements.</t>
  </si>
  <si>
    <t>War elements exist but are seriously restructured in AU.</t>
  </si>
  <si>
    <t>The Hermione/Viktor relationship is not always not always the central focus.</t>
  </si>
  <si>
    <t>Following Cursed Child, Harry confronts alternate timelines through the Veil that once killed Sirius. Harry, Ron and Hermione discover the possible impact of Viktor Krum on the war.</t>
  </si>
  <si>
    <t>Viktor has no direct active war role in the present timeline; the story is about retrospectively examining alternative timelines where Viktor prevented the Battle of Hogwarts.</t>
  </si>
  <si>
    <r>
      <t>The weakest element is that Viktor/Hermione is</t>
    </r>
    <r>
      <rPr>
        <sz val="10"/>
        <color theme="1"/>
        <rFont val="Calibri"/>
        <family val="2"/>
        <scheme val="minor"/>
      </rPr>
      <t xml:space="preserve"> more about tension and history than a central-lived romance.</t>
    </r>
  </si>
  <si>
    <t>Soulmate AU with magical traditions, politics, and a complex Hermione/Viktor bond. Marriage law, soulmates, past lives, and a heavily reworked magical-social framework place it well outside a GoF-continuation or postwar-healing structure.</t>
  </si>
  <si>
    <t>Hermione transfers to Durmstrang after Hogwarts closed in CoS. Dark AU with Durmstrang elements, magic, and a more dangerous version of both characters.</t>
  </si>
  <si>
    <t>Viktor is involved in darker, war-adjacent conflicts.</t>
  </si>
  <si>
    <t>Explores the consequences of Hermione’s post-war decisions, with political and personal ramifications.</t>
  </si>
  <si>
    <r>
      <t xml:space="preserve">Viktor’s war role is displaced into </t>
    </r>
    <r>
      <rPr>
        <sz val="10"/>
        <color theme="1"/>
        <rFont val="Calibri"/>
        <family val="2"/>
        <scheme val="minor"/>
      </rPr>
      <t>postwar defense: instead of Horcrux-hunt participation, he fights the instability, radicalization, and violence that survived Voldemort.</t>
    </r>
  </si>
  <si>
    <r>
      <t xml:space="preserve">The best element is the </t>
    </r>
    <r>
      <rPr>
        <b/>
        <sz val="10"/>
        <color theme="1"/>
        <rFont val="Calibri"/>
        <family val="2"/>
        <scheme val="minor"/>
      </rPr>
      <t>political-thriller / detective structure</t>
    </r>
    <r>
      <rPr>
        <sz val="10"/>
        <color theme="1"/>
        <rFont val="Calibri"/>
        <family val="2"/>
        <scheme val="minor"/>
      </rPr>
      <t xml:space="preserve"> with strong wizarding-world after-the-war worldbuilding.</t>
    </r>
  </si>
  <si>
    <r>
      <t xml:space="preserve">The best element is the fusion of </t>
    </r>
    <r>
      <rPr>
        <b/>
        <sz val="10"/>
        <color theme="1"/>
        <rFont val="Calibri"/>
        <family val="2"/>
        <scheme val="minor"/>
      </rPr>
      <t>postwar reconstruction with the rituals and runes worldbuilding</t>
    </r>
    <r>
      <rPr>
        <sz val="10"/>
        <color theme="1"/>
        <rFont val="Calibri"/>
        <family val="2"/>
        <scheme val="minor"/>
      </rPr>
      <t>.</t>
    </r>
  </si>
  <si>
    <t>Hermione/Viktor is not always the primary focus.</t>
  </si>
  <si>
    <t>bexchan</t>
  </si>
  <si>
    <t>speechwriter</t>
  </si>
  <si>
    <t>Author</t>
  </si>
  <si>
    <t>URL</t>
  </si>
  <si>
    <t>Public Score</t>
  </si>
  <si>
    <t>Major series with multiple parallel universes, each with their own separate plots, showing the changes in history with respect to Hermione's romantic choices regarding Viktor and Ron.</t>
  </si>
  <si>
    <t>Depends on the branch, Viktor either leaves Hermione, fights with her, or takes her to Bulgaria away from the war.</t>
  </si>
  <si>
    <t>Consistency with canonical events, excellent characterizations and strong emphasis on ethics.</t>
  </si>
  <si>
    <t>The parallel universes structure can be complex.</t>
  </si>
  <si>
    <t>The startpoint is GoF and the story stays canon-faithful up to a clear divergence point.</t>
  </si>
  <si>
    <t>https://archiveofourown.org/series/5376601</t>
  </si>
  <si>
    <t>doe (outdated)</t>
  </si>
  <si>
    <t>Sampling point of WIP was too new to have a meaningful part of the story.</t>
  </si>
  <si>
    <t>Outdated</t>
  </si>
  <si>
    <t>Reduction</t>
  </si>
  <si>
    <t>Total Hits</t>
  </si>
  <si>
    <t>Years since Publication</t>
  </si>
  <si>
    <t>Execution Score</t>
  </si>
  <si>
    <t>The best element is the political-thriller / detective structure with strong wizarding-world after-the-war worldbuilding.</t>
  </si>
  <si>
    <t>The weakest element is that the fic’s core energy often sits more in casework and politics than in the romance itself.</t>
  </si>
  <si>
    <t>Viktor’s war role is displaced into postwar defense: instead of Horcrux-hunt participation, he fights the instability, radicalization, and violence that survived Voldemort.</t>
  </si>
  <si>
    <t>The balance between romance and mystery inside a recognizably GoF framework.</t>
  </si>
  <si>
    <t>Bcaused the work is still incomplete, its full larger-war payoff remains unresolved.</t>
  </si>
  <si>
    <t>The best element is the international, language-and-culture-heavy worldbuilding around Hermione and Viktor.</t>
  </si>
  <si>
    <t>The weakest element is that the story’s breadth makes it feel less anchored to a specific canon conflict.</t>
  </si>
  <si>
    <t>The best element is the gentle postwar reconnection in Bulgaria, especially the emotional role of the flower shop as a place of healing and belonging.</t>
  </si>
  <si>
    <t>The weakest element is that the larger war consequences stay mostly personal and domestic, rather than deeply political or strategic.</t>
  </si>
  <si>
    <t>The slow emotional accumulation from the Yule Ball era and intimacy onward.</t>
  </si>
  <si>
    <t>As the story is spanning many years, the plot can feel broad and diffuse rather than sharply concentrated.</t>
  </si>
  <si>
    <t>The ritual-heavy, culturally specific expansion of Viktor’s side of the world.</t>
  </si>
  <si>
    <t>The best element is the fusion of postwar reconstruction with the rituals and runes worldbuilding.</t>
  </si>
  <si>
    <t>The weakest element is that the central conflict is driven more by marriage-law mechanics than by wider wizarding-world consequences.</t>
  </si>
  <si>
    <t>The best element is the meta-ethical treatment of alternate timelines and consequences.</t>
  </si>
  <si>
    <t>The weakest element is that Viktor/Hermione is more about tension and history than a central-lived romance.</t>
  </si>
  <si>
    <t>The intensity of the temporary connection and the sense of a love deferred rather than erased.</t>
  </si>
  <si>
    <t>The relationship has little effect on the larger HP plot.</t>
  </si>
  <si>
    <t>The high-stakes conspiracy plot: Hermione’s altered education has immediate political and magical consequences.</t>
  </si>
  <si>
    <t>The Vikmione relationship is mostly a setup rather than a fully developed romance.</t>
  </si>
  <si>
    <t>Popularity Score</t>
  </si>
  <si>
    <t>Sum1</t>
  </si>
  <si>
    <t>Sum2</t>
  </si>
  <si>
    <t>Normalised MRD</t>
  </si>
  <si>
    <t>MRD</t>
  </si>
  <si>
    <t>Toevoegen (Benchmarks):</t>
  </si>
  <si>
    <t>Hidden Gem; Author explicitely stated that many people repell on the divorcee-part of krummione, holding back hits while the work is extremely well-done. The divorcee-part was taken out eventually when switching from postwar to canon-div, but still impacted hits jheavily.</t>
  </si>
  <si>
    <t>Starts with Hermione and Viktor dating in GoF. Focus on a Viktor growing up in communistic Bulgaria. Both him and Hermione feel like outsiders and they develop a deep emotional connection.</t>
  </si>
  <si>
    <t>The story is primarily GoF focussed. The war solution is unknown as the story has not reached a point beyond GoF yet.</t>
  </si>
  <si>
    <t>Stellar Characterizations.</t>
  </si>
  <si>
    <t>The story starts in GoF with Viktor and Hermione meeting around the first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</si>
</sst>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color theme="1"/>
      <name val="Times New Roman"/>
      <family val="1"/>
    </font>
    <font>
      <b/>
      <sz val="16"/>
      <color theme="1"/>
      <name val="Times New Roman"/>
      <family val="1"/>
    </font>
    <font>
      <sz val="18"/>
      <color theme="1"/>
      <name val="Times New Roman"/>
      <family val="1"/>
    </font>
    <font>
      <sz val="8"/>
      <name val="Calibri"/>
      <family val="2"/>
      <scheme val="minor"/>
    </font>
    <font>
      <u/>
      <sz val="11"/>
      <color theme="10"/>
      <name val="Calibri"/>
      <family val="2"/>
      <scheme val="minor"/>
    </font>
    <font>
      <sz val="12"/>
      <color theme="1"/>
      <name val="Times New Roman"/>
      <family val="1"/>
    </font>
    <font>
      <sz val="16"/>
      <color theme="1"/>
      <name val="Times New Roman"/>
      <family val="1"/>
    </font>
    <font>
      <b/>
      <sz val="11"/>
      <color theme="0"/>
      <name val="Calibri"/>
      <family val="2"/>
      <scheme val="minor"/>
    </font>
    <font>
      <sz val="16"/>
      <name val="Times New Roman"/>
      <family val="1"/>
    </font>
    <font>
      <sz val="18"/>
      <name val="Times New Roman"/>
      <family val="1"/>
    </font>
    <font>
      <sz val="11"/>
      <name val="Calibri"/>
      <family val="2"/>
      <scheme val="minor"/>
    </font>
    <font>
      <b/>
      <sz val="12"/>
      <color theme="1"/>
      <name val="Times New Roman"/>
      <family val="1"/>
    </font>
    <font>
      <b/>
      <sz val="10"/>
      <color theme="1"/>
      <name val="Calibri"/>
      <family val="2"/>
      <scheme val="minor"/>
    </font>
    <font>
      <sz val="10"/>
      <color theme="1"/>
      <name val="Calibri"/>
      <family val="2"/>
      <scheme val="minor"/>
    </font>
    <font>
      <i/>
      <sz val="10"/>
      <color theme="1"/>
      <name val="Calibri"/>
      <family val="2"/>
      <scheme val="minor"/>
    </font>
    <font>
      <u/>
      <sz val="10"/>
      <color rgb="FF0070C0"/>
      <name val="Times New Roman"/>
      <family val="1"/>
    </font>
    <font>
      <b/>
      <i/>
      <sz val="16"/>
      <name val="Times New Roman"/>
      <family val="1"/>
    </font>
    <font>
      <sz val="12"/>
      <color theme="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5">
    <xf numFmtId="0" fontId="0" fillId="0" borderId="0" xfId="0"/>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xf numFmtId="0" fontId="4" fillId="0" borderId="0" xfId="0" applyFont="1"/>
    <xf numFmtId="0" fontId="1" fillId="0" borderId="0" xfId="0" applyFont="1" applyAlignment="1">
      <alignment horizontal="left" vertical="center" wrapText="1"/>
    </xf>
    <xf numFmtId="0" fontId="7" fillId="0" borderId="0" xfId="0" applyFont="1" applyAlignment="1">
      <alignment vertical="center" wrapText="1"/>
    </xf>
    <xf numFmtId="0" fontId="7" fillId="0" borderId="0" xfId="0" applyFont="1"/>
    <xf numFmtId="0" fontId="8" fillId="0" borderId="0" xfId="0" applyFont="1" applyAlignment="1">
      <alignment vertical="center" wrapText="1"/>
    </xf>
    <xf numFmtId="0" fontId="10" fillId="0" borderId="0" xfId="0" applyFont="1" applyAlignment="1">
      <alignment vertical="center" wrapText="1"/>
    </xf>
    <xf numFmtId="0" fontId="11" fillId="0" borderId="0" xfId="0" applyFont="1"/>
    <xf numFmtId="0" fontId="12" fillId="0" borderId="0" xfId="0" applyFont="1" applyAlignment="1">
      <alignment vertical="center" wrapText="1"/>
    </xf>
    <xf numFmtId="0" fontId="12" fillId="0" borderId="0" xfId="0" applyFont="1"/>
    <xf numFmtId="0" fontId="9" fillId="0" borderId="0" xfId="0" applyFont="1" applyAlignment="1">
      <alignment horizontal="left" vertical="center" wrapText="1"/>
    </xf>
    <xf numFmtId="0" fontId="13" fillId="0" borderId="0" xfId="0" applyFont="1"/>
    <xf numFmtId="14" fontId="8" fillId="0" borderId="0" xfId="0" applyNumberFormat="1" applyFont="1" applyAlignment="1">
      <alignment vertical="center" wrapText="1"/>
    </xf>
    <xf numFmtId="0" fontId="8" fillId="0" borderId="0" xfId="0" applyFont="1"/>
    <xf numFmtId="0" fontId="17" fillId="0" borderId="0" xfId="1" applyNumberFormat="1" applyFont="1" applyAlignment="1">
      <alignment vertical="center" wrapText="1"/>
    </xf>
    <xf numFmtId="0" fontId="18" fillId="0" borderId="0" xfId="0" applyFont="1" applyAlignment="1">
      <alignment vertical="center" wrapText="1"/>
    </xf>
    <xf numFmtId="0" fontId="17" fillId="0" borderId="0" xfId="0" applyFont="1"/>
    <xf numFmtId="0" fontId="2" fillId="0" borderId="0" xfId="0" applyFont="1"/>
    <xf numFmtId="0" fontId="17" fillId="0" borderId="0" xfId="1" applyNumberFormat="1" applyFont="1"/>
    <xf numFmtId="0" fontId="19" fillId="0" borderId="0" xfId="0" applyFont="1"/>
  </cellXfs>
  <cellStyles count="2">
    <cellStyle name="Hyperlink" xfId="1" builtinId="8"/>
    <cellStyle name="Normal" xfId="0" builtinId="0"/>
  </cellStyles>
  <dxfs count="142">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
      <font>
        <strike val="0"/>
        <outline val="0"/>
        <shadow val="0"/>
        <u val="none"/>
        <vertAlign val="baseline"/>
        <sz val="10"/>
        <color theme="1"/>
        <name val="Times New Roman"/>
        <family val="1"/>
        <scheme val="none"/>
      </font>
      <numFmt numFmtId="0" formatCode="General"/>
    </dxf>
    <dxf>
      <font>
        <strike val="0"/>
        <outline val="0"/>
        <shadow val="0"/>
        <u val="none"/>
        <vertAlign val="baseline"/>
        <sz val="10"/>
        <color theme="1"/>
        <name val="Times New Roman"/>
        <family val="1"/>
        <scheme val="none"/>
      </font>
      <numFmt numFmtId="0" formatCode="General"/>
    </dxf>
    <dxf>
      <font>
        <strike val="0"/>
        <outline val="0"/>
        <shadow val="0"/>
        <u val="none"/>
        <vertAlign val="baseline"/>
        <sz val="10"/>
        <color theme="1"/>
        <name val="Times New Roman"/>
        <family val="1"/>
        <scheme val="none"/>
      </font>
      <numFmt numFmtId="0" formatCode="General"/>
    </dxf>
    <dxf>
      <font>
        <strike val="0"/>
        <outline val="0"/>
        <shadow val="0"/>
        <u val="none"/>
        <vertAlign val="baseline"/>
        <sz val="10"/>
        <color theme="1"/>
        <name val="Times New Roman"/>
        <family val="1"/>
        <scheme val="none"/>
      </font>
      <numFmt numFmtId="0" formatCode="General"/>
    </dxf>
    <dxf>
      <font>
        <strike val="0"/>
        <outline val="0"/>
        <shadow val="0"/>
        <vertAlign val="baseline"/>
        <sz val="12"/>
        <name val="Times New Roman"/>
        <family val="1"/>
        <scheme val="none"/>
      </font>
      <numFmt numFmtId="0" formatCode="General"/>
    </dxf>
    <dxf>
      <font>
        <strike val="0"/>
        <outline val="0"/>
        <shadow val="0"/>
        <vertAlign val="baseline"/>
        <sz val="12"/>
        <name val="Times New Roman"/>
        <family val="1"/>
        <scheme val="none"/>
      </font>
      <numFmt numFmtId="0" formatCode="General"/>
    </dxf>
    <dxf>
      <font>
        <strike val="0"/>
        <outline val="0"/>
        <shadow val="0"/>
        <vertAlign val="baseline"/>
        <sz val="12"/>
        <name val="Times New Roman"/>
        <family val="1"/>
        <scheme val="none"/>
      </font>
    </dxf>
    <dxf>
      <font>
        <strike val="0"/>
        <outline val="0"/>
        <shadow val="0"/>
        <vertAlign val="baseline"/>
        <sz val="12"/>
        <name val="Times New Roman"/>
        <family val="1"/>
        <scheme val="none"/>
      </font>
      <numFmt numFmtId="0" formatCode="General"/>
    </dxf>
    <dxf>
      <font>
        <b val="0"/>
        <i val="0"/>
        <strike val="0"/>
        <outline val="0"/>
        <shadow val="0"/>
        <u/>
        <vertAlign val="baseline"/>
        <sz val="10"/>
        <color rgb="FF0070C0"/>
        <name val="Times New Roman"/>
        <family val="1"/>
        <scheme val="none"/>
      </font>
      <numFmt numFmtId="0" formatCode="General"/>
    </dxf>
    <dxf>
      <font>
        <strike val="0"/>
        <outline val="0"/>
        <shadow val="0"/>
        <vertAlign val="baseline"/>
        <sz val="12"/>
        <name val="Times New Roman"/>
        <family val="1"/>
        <scheme val="none"/>
      </font>
      <numFmt numFmtId="0" formatCode="General"/>
    </dxf>
    <dxf>
      <font>
        <strike val="0"/>
        <outline val="0"/>
        <shadow val="0"/>
        <vertAlign val="baseline"/>
        <sz val="12"/>
        <name val="Times New Roman"/>
        <family val="1"/>
        <scheme val="none"/>
      </font>
      <numFmt numFmtId="0" formatCode="General"/>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rgb="FFFF0000"/>
        <name val="Times New Roman"/>
        <family val="1"/>
        <scheme val="none"/>
      </font>
      <numFmt numFmtId="0" formatCode="General"/>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numFmt numFmtId="0" formatCode="General"/>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b/>
        <strike val="0"/>
        <outline val="0"/>
        <shadow val="0"/>
        <u val="none"/>
        <vertAlign val="baseline"/>
        <sz val="16"/>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nl-NL" sz="2000" b="1">
                <a:latin typeface="Times New Roman" panose="02020603050405020304" pitchFamily="18" charset="0"/>
                <a:cs typeface="Times New Roman" panose="02020603050405020304" pitchFamily="18" charset="0"/>
              </a:rPr>
              <a:t>Scatter</a:t>
            </a:r>
            <a:r>
              <a:rPr lang="nl-NL" sz="2000" b="1" baseline="0">
                <a:latin typeface="Times New Roman" panose="02020603050405020304" pitchFamily="18" charset="0"/>
                <a:cs typeface="Times New Roman" panose="02020603050405020304" pitchFamily="18" charset="0"/>
              </a:rPr>
              <a:t> plot of Rubric Score vs Hits/Time</a:t>
            </a:r>
          </a:p>
        </c:rich>
      </c:tx>
      <c:layout>
        <c:manualLayout>
          <c:xMode val="edge"/>
          <c:yMode val="edge"/>
          <c:x val="0.28671156914209256"/>
          <c:y val="1.769911504424778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L"/>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ED050008-9D6D-4EC8-9821-1E4E7086585B}" type="CELLRANGE">
                      <a:rPr lang="en-US"/>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0F0-46C2-8806-ACF37CCE0489}"/>
                </c:ext>
              </c:extLst>
            </c:dLbl>
            <c:dLbl>
              <c:idx val="1"/>
              <c:tx>
                <c:rich>
                  <a:bodyPr/>
                  <a:lstStyle/>
                  <a:p>
                    <a:fld id="{461C2A53-3F62-4399-9037-03B36BDC8859}"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0F0-46C2-8806-ACF37CCE0489}"/>
                </c:ext>
              </c:extLst>
            </c:dLbl>
            <c:dLbl>
              <c:idx val="2"/>
              <c:tx>
                <c:rich>
                  <a:bodyPr/>
                  <a:lstStyle/>
                  <a:p>
                    <a:fld id="{6DFA2FAE-4182-4715-8C94-F3D6B5016C27}"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0F0-46C2-8806-ACF37CCE0489}"/>
                </c:ext>
              </c:extLst>
            </c:dLbl>
            <c:dLbl>
              <c:idx val="3"/>
              <c:tx>
                <c:rich>
                  <a:bodyPr/>
                  <a:lstStyle/>
                  <a:p>
                    <a:fld id="{BF205B0A-EBD6-42E7-AD6C-DD3D98E4341D}"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0F0-46C2-8806-ACF37CCE0489}"/>
                </c:ext>
              </c:extLst>
            </c:dLbl>
            <c:dLbl>
              <c:idx val="4"/>
              <c:tx>
                <c:rich>
                  <a:bodyPr/>
                  <a:lstStyle/>
                  <a:p>
                    <a:fld id="{DFC124C5-7FAD-4836-AAC0-757841702894}"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0F0-46C2-8806-ACF37CCE0489}"/>
                </c:ext>
              </c:extLst>
            </c:dLbl>
            <c:dLbl>
              <c:idx val="5"/>
              <c:tx>
                <c:rich>
                  <a:bodyPr/>
                  <a:lstStyle/>
                  <a:p>
                    <a:fld id="{32E7F2FA-0B80-4946-99B9-76F429D3CD5A}"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0F0-46C2-8806-ACF37CCE0489}"/>
                </c:ext>
              </c:extLst>
            </c:dLbl>
            <c:dLbl>
              <c:idx val="6"/>
              <c:tx>
                <c:rich>
                  <a:bodyPr/>
                  <a:lstStyle/>
                  <a:p>
                    <a:fld id="{0458B631-843D-48F8-8A26-18E8B56AF612}"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0F0-46C2-8806-ACF37CCE0489}"/>
                </c:ext>
              </c:extLst>
            </c:dLbl>
            <c:dLbl>
              <c:idx val="7"/>
              <c:tx>
                <c:rich>
                  <a:bodyPr/>
                  <a:lstStyle/>
                  <a:p>
                    <a:fld id="{3F4D213D-B77B-4E8A-A769-3C21AB823D76}"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0F0-46C2-8806-ACF37CCE0489}"/>
                </c:ext>
              </c:extLst>
            </c:dLbl>
            <c:dLbl>
              <c:idx val="8"/>
              <c:tx>
                <c:rich>
                  <a:bodyPr/>
                  <a:lstStyle/>
                  <a:p>
                    <a:fld id="{14AE9B59-DD8C-4DCB-93A3-1F2D64574FD9}"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0F0-46C2-8806-ACF37CCE0489}"/>
                </c:ext>
              </c:extLst>
            </c:dLbl>
            <c:dLbl>
              <c:idx val="9"/>
              <c:tx>
                <c:rich>
                  <a:bodyPr/>
                  <a:lstStyle/>
                  <a:p>
                    <a:fld id="{E4A3EF2A-CBC1-4E54-8E80-DF8EC715FAFF}"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0F0-46C2-8806-ACF37CCE0489}"/>
                </c:ext>
              </c:extLst>
            </c:dLbl>
            <c:dLbl>
              <c:idx val="10"/>
              <c:tx>
                <c:rich>
                  <a:bodyPr/>
                  <a:lstStyle/>
                  <a:p>
                    <a:fld id="{CA50B00C-82AD-4118-857F-7118093226DE}"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0F0-46C2-8806-ACF37CCE0489}"/>
                </c:ext>
              </c:extLst>
            </c:dLbl>
            <c:dLbl>
              <c:idx val="11"/>
              <c:tx>
                <c:rich>
                  <a:bodyPr/>
                  <a:lstStyle/>
                  <a:p>
                    <a:fld id="{7107D996-AF49-4B60-BBE8-68E65D8EF4CC}"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0F0-46C2-8806-ACF37CCE0489}"/>
                </c:ext>
              </c:extLst>
            </c:dLbl>
            <c:dLbl>
              <c:idx val="12"/>
              <c:tx>
                <c:rich>
                  <a:bodyPr/>
                  <a:lstStyle/>
                  <a:p>
                    <a:fld id="{C73A2216-51D6-4BD9-9B8C-9C5572C949A3}"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0F0-46C2-8806-ACF37CCE0489}"/>
                </c:ext>
              </c:extLst>
            </c:dLbl>
            <c:dLbl>
              <c:idx val="13"/>
              <c:tx>
                <c:rich>
                  <a:bodyPr/>
                  <a:lstStyle/>
                  <a:p>
                    <a:fld id="{B1AEE11A-214E-40B2-B1DB-6FF24721DEFE}"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0F0-46C2-8806-ACF37CCE0489}"/>
                </c:ext>
              </c:extLst>
            </c:dLbl>
            <c:dLbl>
              <c:idx val="14"/>
              <c:tx>
                <c:rich>
                  <a:bodyPr/>
                  <a:lstStyle/>
                  <a:p>
                    <a:fld id="{678ADE00-74B1-4CE7-BD4E-545D56C17039}"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0F0-46C2-8806-ACF37CCE0489}"/>
                </c:ext>
              </c:extLst>
            </c:dLbl>
            <c:dLbl>
              <c:idx val="15"/>
              <c:tx>
                <c:rich>
                  <a:bodyPr/>
                  <a:lstStyle/>
                  <a:p>
                    <a:fld id="{03CA8A6E-6103-4C74-9A19-E34952DF14FC}"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0F0-46C2-8806-ACF37CCE0489}"/>
                </c:ext>
              </c:extLst>
            </c:dLbl>
            <c:dLbl>
              <c:idx val="16"/>
              <c:tx>
                <c:rich>
                  <a:bodyPr/>
                  <a:lstStyle/>
                  <a:p>
                    <a:fld id="{10961A31-4E3F-4967-8432-ACA631BA6ACE}"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0F0-46C2-8806-ACF37CCE0489}"/>
                </c:ext>
              </c:extLst>
            </c:dLbl>
            <c:dLbl>
              <c:idx val="17"/>
              <c:tx>
                <c:rich>
                  <a:bodyPr/>
                  <a:lstStyle/>
                  <a:p>
                    <a:fld id="{2E5864CE-6E26-47CA-BB94-4788C9525CBD}"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0F0-46C2-8806-ACF37CCE0489}"/>
                </c:ext>
              </c:extLst>
            </c:dLbl>
            <c:dLbl>
              <c:idx val="18"/>
              <c:tx>
                <c:rich>
                  <a:bodyPr/>
                  <a:lstStyle/>
                  <a:p>
                    <a:fld id="{81A6ED67-D5BD-4E86-9B2C-2E08A46AEB80}"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0F0-46C2-8806-ACF37CCE0489}"/>
                </c:ext>
              </c:extLst>
            </c:dLbl>
            <c:dLbl>
              <c:idx val="19"/>
              <c:tx>
                <c:rich>
                  <a:bodyPr/>
                  <a:lstStyle/>
                  <a:p>
                    <a:fld id="{E93FA2F8-5818-4666-B902-5EF8462155AA}"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0F0-46C2-8806-ACF37CCE0489}"/>
                </c:ext>
              </c:extLst>
            </c:dLbl>
            <c:dLbl>
              <c:idx val="20"/>
              <c:tx>
                <c:rich>
                  <a:bodyPr/>
                  <a:lstStyle/>
                  <a:p>
                    <a:fld id="{446E3481-F8E7-44B6-BD39-996DF3152765}"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0F0-46C2-8806-ACF37CCE0489}"/>
                </c:ext>
              </c:extLst>
            </c:dLbl>
            <c:dLbl>
              <c:idx val="21"/>
              <c:tx>
                <c:rich>
                  <a:bodyPr/>
                  <a:lstStyle/>
                  <a:p>
                    <a:fld id="{78F05FC6-6A90-40E6-88AB-079D513BBB2A}"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0F0-46C2-8806-ACF37CCE0489}"/>
                </c:ext>
              </c:extLst>
            </c:dLbl>
            <c:dLbl>
              <c:idx val="22"/>
              <c:tx>
                <c:rich>
                  <a:bodyPr/>
                  <a:lstStyle/>
                  <a:p>
                    <a:fld id="{3075B606-0A3B-43AE-95BD-E589D585C2A9}"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0F0-46C2-8806-ACF37CCE0489}"/>
                </c:ext>
              </c:extLst>
            </c:dLbl>
            <c:dLbl>
              <c:idx val="23"/>
              <c:tx>
                <c:rich>
                  <a:bodyPr/>
                  <a:lstStyle/>
                  <a:p>
                    <a:fld id="{43277BAB-90C0-4318-8974-9B2A534C30F8}"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0F0-46C2-8806-ACF37CCE0489}"/>
                </c:ext>
              </c:extLst>
            </c:dLbl>
            <c:dLbl>
              <c:idx val="24"/>
              <c:tx>
                <c:rich>
                  <a:bodyPr/>
                  <a:lstStyle/>
                  <a:p>
                    <a:fld id="{FEA72C85-DC55-4998-9C8C-631FF1F79594}"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0F0-46C2-8806-ACF37CCE0489}"/>
                </c:ext>
              </c:extLst>
            </c:dLbl>
            <c:dLbl>
              <c:idx val="25"/>
              <c:tx>
                <c:rich>
                  <a:bodyPr/>
                  <a:lstStyle/>
                  <a:p>
                    <a:fld id="{3099D6E5-B828-4B36-B81E-28031AC4AE01}"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0F0-46C2-8806-ACF37CCE0489}"/>
                </c:ext>
              </c:extLst>
            </c:dLbl>
            <c:dLbl>
              <c:idx val="26"/>
              <c:tx>
                <c:rich>
                  <a:bodyPr/>
                  <a:lstStyle/>
                  <a:p>
                    <a:fld id="{1EAA365E-37D8-4EBD-B531-86930AF775E0}"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0F0-46C2-8806-ACF37CCE0489}"/>
                </c:ext>
              </c:extLst>
            </c:dLbl>
            <c:dLbl>
              <c:idx val="27"/>
              <c:tx>
                <c:rich>
                  <a:bodyPr/>
                  <a:lstStyle/>
                  <a:p>
                    <a:fld id="{F526C984-CA45-48C4-A41D-D798AE9FA21C}"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5B8-4EF4-BC4D-38EB4A32218C}"/>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L"/>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1750" cap="rnd">
                <a:solidFill>
                  <a:srgbClr val="FF0000"/>
                </a:solidFill>
                <a:prstDash val="dash"/>
              </a:ln>
              <a:effectLst/>
            </c:spPr>
            <c:trendlineType val="linear"/>
            <c:dispRSqr val="0"/>
            <c:dispEq val="0"/>
          </c:trendline>
          <c:xVal>
            <c:numRef>
              <c:f>'Hits Correlation'!$C$2:$C$29</c:f>
              <c:numCache>
                <c:formatCode>General</c:formatCode>
                <c:ptCount val="28"/>
                <c:pt idx="0">
                  <c:v>71.3</c:v>
                </c:pt>
                <c:pt idx="1">
                  <c:v>67.8</c:v>
                </c:pt>
                <c:pt idx="2">
                  <c:v>65.599999999999994</c:v>
                </c:pt>
                <c:pt idx="3">
                  <c:v>87.9</c:v>
                </c:pt>
                <c:pt idx="4">
                  <c:v>84.2</c:v>
                </c:pt>
                <c:pt idx="5">
                  <c:v>62.4</c:v>
                </c:pt>
                <c:pt idx="6">
                  <c:v>77.8</c:v>
                </c:pt>
                <c:pt idx="7">
                  <c:v>82.5</c:v>
                </c:pt>
                <c:pt idx="8">
                  <c:v>73.2</c:v>
                </c:pt>
                <c:pt idx="9">
                  <c:v>75.400000000000006</c:v>
                </c:pt>
                <c:pt idx="10">
                  <c:v>71.5</c:v>
                </c:pt>
                <c:pt idx="11">
                  <c:v>60.6</c:v>
                </c:pt>
                <c:pt idx="12">
                  <c:v>45.4</c:v>
                </c:pt>
                <c:pt idx="13">
                  <c:v>64.400000000000006</c:v>
                </c:pt>
                <c:pt idx="14">
                  <c:v>65.400000000000006</c:v>
                </c:pt>
                <c:pt idx="15">
                  <c:v>56</c:v>
                </c:pt>
                <c:pt idx="16">
                  <c:v>52.3</c:v>
                </c:pt>
                <c:pt idx="17">
                  <c:v>42.3</c:v>
                </c:pt>
                <c:pt idx="18">
                  <c:v>48.8</c:v>
                </c:pt>
                <c:pt idx="19">
                  <c:v>73.5</c:v>
                </c:pt>
                <c:pt idx="20">
                  <c:v>64.099999999999994</c:v>
                </c:pt>
                <c:pt idx="21">
                  <c:v>73.8</c:v>
                </c:pt>
                <c:pt idx="22">
                  <c:v>68.8</c:v>
                </c:pt>
                <c:pt idx="23">
                  <c:v>72.599999999999994</c:v>
                </c:pt>
                <c:pt idx="24">
                  <c:v>49.9</c:v>
                </c:pt>
                <c:pt idx="25">
                  <c:v>45.5</c:v>
                </c:pt>
                <c:pt idx="26">
                  <c:v>70.5</c:v>
                </c:pt>
                <c:pt idx="27">
                  <c:v>59.6</c:v>
                </c:pt>
              </c:numCache>
            </c:numRef>
          </c:xVal>
          <c:yVal>
            <c:numRef>
              <c:f>'Hits Correlation'!$G$2:$G$29</c:f>
              <c:numCache>
                <c:formatCode>General</c:formatCode>
                <c:ptCount val="28"/>
                <c:pt idx="0">
                  <c:v>54</c:v>
                </c:pt>
                <c:pt idx="1">
                  <c:v>54.207999999999998</c:v>
                </c:pt>
                <c:pt idx="2">
                  <c:v>51.216000000000001</c:v>
                </c:pt>
                <c:pt idx="3">
                  <c:v>43.068000000000005</c:v>
                </c:pt>
                <c:pt idx="4">
                  <c:v>53.5</c:v>
                </c:pt>
                <c:pt idx="5">
                  <c:v>50.8</c:v>
                </c:pt>
                <c:pt idx="6">
                  <c:v>26.39</c:v>
                </c:pt>
                <c:pt idx="7">
                  <c:v>37.9</c:v>
                </c:pt>
                <c:pt idx="8">
                  <c:v>33.367999999999995</c:v>
                </c:pt>
                <c:pt idx="9">
                  <c:v>33.5</c:v>
                </c:pt>
                <c:pt idx="10">
                  <c:v>27.917999999999999</c:v>
                </c:pt>
                <c:pt idx="11">
                  <c:v>27.422999999999998</c:v>
                </c:pt>
                <c:pt idx="12">
                  <c:v>25.7</c:v>
                </c:pt>
                <c:pt idx="13">
                  <c:v>25</c:v>
                </c:pt>
                <c:pt idx="14">
                  <c:v>21.808</c:v>
                </c:pt>
                <c:pt idx="15">
                  <c:v>17.225999999999999</c:v>
                </c:pt>
                <c:pt idx="16">
                  <c:v>11.778</c:v>
                </c:pt>
                <c:pt idx="17">
                  <c:v>12</c:v>
                </c:pt>
                <c:pt idx="18">
                  <c:v>11.3</c:v>
                </c:pt>
                <c:pt idx="19">
                  <c:v>9.9</c:v>
                </c:pt>
                <c:pt idx="20">
                  <c:v>5.28</c:v>
                </c:pt>
                <c:pt idx="21">
                  <c:v>7.35</c:v>
                </c:pt>
                <c:pt idx="22">
                  <c:v>6.2</c:v>
                </c:pt>
                <c:pt idx="23">
                  <c:v>5.4450000000000003</c:v>
                </c:pt>
                <c:pt idx="24">
                  <c:v>4.4879999999999995</c:v>
                </c:pt>
                <c:pt idx="25">
                  <c:v>4.2</c:v>
                </c:pt>
                <c:pt idx="26">
                  <c:v>3.1680000000000001</c:v>
                </c:pt>
                <c:pt idx="27">
                  <c:v>0.8</c:v>
                </c:pt>
              </c:numCache>
            </c:numRef>
          </c:yVal>
          <c:smooth val="0"/>
          <c:extLst>
            <c:ext xmlns:c15="http://schemas.microsoft.com/office/drawing/2012/chart" uri="{02D57815-91ED-43cb-92C2-25804820EDAC}">
              <c15:datalabelsRange>
                <c15:f>'Hits Correlation'!$A$2:$A$29</c15:f>
                <c15:dlblRangeCache>
                  <c:ptCount val="28"/>
                  <c:pt idx="0">
                    <c:v>doe</c:v>
                  </c:pt>
                  <c:pt idx="1">
                    <c:v>There'll Never Be Enough of Us</c:v>
                  </c:pt>
                  <c:pt idx="2">
                    <c:v>Letter of Survival</c:v>
                  </c:pt>
                  <c:pt idx="3">
                    <c:v>Alignment</c:v>
                  </c:pt>
                  <c:pt idx="4">
                    <c:v>Debts of Honor</c:v>
                  </c:pt>
                  <c:pt idx="5">
                    <c:v>Looks Can Be Deceiving</c:v>
                  </c:pt>
                  <c:pt idx="6">
                    <c:v>No more Trio</c:v>
                  </c:pt>
                  <c:pt idx="7">
                    <c:v>Air</c:v>
                  </c:pt>
                  <c:pt idx="8">
                    <c:v>Until Tomorrow</c:v>
                  </c:pt>
                  <c:pt idx="9">
                    <c:v>Hunting Shadows</c:v>
                  </c:pt>
                  <c:pt idx="10">
                    <c:v>Hermione Granger and the silent country</c:v>
                  </c:pt>
                  <c:pt idx="11">
                    <c:v>Finding their way back to love</c:v>
                  </c:pt>
                  <c:pt idx="12">
                    <c:v>Shield and Star</c:v>
                  </c:pt>
                  <c:pt idx="13">
                    <c:v>Runes and Rituals</c:v>
                  </c:pt>
                  <c:pt idx="14">
                    <c:v>To the You of 1994</c:v>
                  </c:pt>
                  <c:pt idx="15">
                    <c:v>Metanoia</c:v>
                  </c:pt>
                  <c:pt idx="16">
                    <c:v>But Daddy I Love Him</c:v>
                  </c:pt>
                  <c:pt idx="17">
                    <c:v>Love Me Like You Do</c:v>
                  </c:pt>
                  <c:pt idx="18">
                    <c:v>Learning To Dance</c:v>
                  </c:pt>
                  <c:pt idx="19">
                    <c:v>A Year Abroad</c:v>
                  </c:pt>
                  <c:pt idx="20">
                    <c:v>Alignment – Through the Arch</c:v>
                  </c:pt>
                  <c:pt idx="21">
                    <c:v>The Observer Effect</c:v>
                  </c:pt>
                  <c:pt idx="22">
                    <c:v>The Flower Shop</c:v>
                  </c:pt>
                  <c:pt idx="23">
                    <c:v>Light to fight the shadows</c:v>
                  </c:pt>
                  <c:pt idx="24">
                    <c:v>My Love Mine All Mine</c:v>
                  </c:pt>
                  <c:pt idx="25">
                    <c:v>This Ship has Sailed</c:v>
                  </c:pt>
                  <c:pt idx="26">
                    <c:v>To Feel To Fall</c:v>
                  </c:pt>
                  <c:pt idx="27">
                    <c:v>A Life in Letters</c:v>
                  </c:pt>
                </c15:dlblRangeCache>
              </c15:datalabelsRange>
            </c:ext>
            <c:ext xmlns:c16="http://schemas.microsoft.com/office/drawing/2014/chart" uri="{C3380CC4-5D6E-409C-BE32-E72D297353CC}">
              <c16:uniqueId val="{00000000-7D60-46E0-99E7-4C958884B2F3}"/>
            </c:ext>
          </c:extLst>
        </c:ser>
        <c:dLbls>
          <c:dLblPos val="t"/>
          <c:showLegendKey val="0"/>
          <c:showVal val="1"/>
          <c:showCatName val="0"/>
          <c:showSerName val="0"/>
          <c:showPercent val="0"/>
          <c:showBubbleSize val="0"/>
        </c:dLbls>
        <c:axId val="651074288"/>
        <c:axId val="801507776"/>
      </c:scatterChart>
      <c:valAx>
        <c:axId val="651074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nl-NL" sz="2000" b="1">
                    <a:latin typeface="Times New Roman" panose="02020603050405020304" pitchFamily="18" charset="0"/>
                    <a:cs typeface="Times New Roman" panose="02020603050405020304" pitchFamily="18" charset="0"/>
                  </a:rPr>
                  <a:t>Rubric Score</a:t>
                </a:r>
                <a:r>
                  <a:rPr lang="nl-NL" sz="2000" b="1" baseline="0">
                    <a:latin typeface="Times New Roman" panose="02020603050405020304" pitchFamily="18" charset="0"/>
                    <a:cs typeface="Times New Roman" panose="02020603050405020304" pitchFamily="18" charset="0"/>
                  </a:rPr>
                  <a:t> (%)</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801507776"/>
        <c:crosses val="autoZero"/>
        <c:crossBetween val="midCat"/>
      </c:valAx>
      <c:valAx>
        <c:axId val="80150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sz="2000" b="1">
                    <a:latin typeface="Times New Roman" panose="02020603050405020304" pitchFamily="18" charset="0"/>
                    <a:cs typeface="Times New Roman" panose="02020603050405020304" pitchFamily="18" charset="0"/>
                  </a:rPr>
                  <a:t>Popularity</a:t>
                </a:r>
                <a:r>
                  <a:rPr lang="nl-NL" sz="2000" b="1" baseline="0">
                    <a:latin typeface="Times New Roman" panose="02020603050405020304" pitchFamily="18" charset="0"/>
                    <a:cs typeface="Times New Roman" panose="02020603050405020304" pitchFamily="18" charset="0"/>
                  </a:rPr>
                  <a:t> Score (hits/time*lifecycle)</a:t>
                </a:r>
                <a:endParaRPr lang="nl-NL" sz="2000"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510742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sz="2000" b="1">
                <a:latin typeface="Times New Roman" panose="02020603050405020304" pitchFamily="18" charset="0"/>
                <a:cs typeface="Times New Roman" panose="02020603050405020304" pitchFamily="18" charset="0"/>
              </a:rPr>
              <a:t>Reduction Factor</a:t>
            </a:r>
            <a:r>
              <a:rPr lang="nl-NL" sz="2000" b="1" baseline="0">
                <a:latin typeface="Times New Roman" panose="02020603050405020304" pitchFamily="18" charset="0"/>
                <a:cs typeface="Times New Roman" panose="02020603050405020304" pitchFamily="18" charset="0"/>
              </a:rPr>
              <a:t> of different works</a:t>
            </a:r>
            <a:endParaRPr lang="nl-NL"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3EE11D32-DB0B-4A2F-8F8C-FD4A3553251E}" type="CELLRANGE">
                      <a:rPr lang="en-US"/>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2CD-4BA3-AE4E-51A8D9203BC5}"/>
                </c:ext>
              </c:extLst>
            </c:dLbl>
            <c:dLbl>
              <c:idx val="1"/>
              <c:tx>
                <c:rich>
                  <a:bodyPr/>
                  <a:lstStyle/>
                  <a:p>
                    <a:fld id="{8F8ABA6E-916F-469F-BEAA-7109A51ED69E}"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2CD-4BA3-AE4E-51A8D9203BC5}"/>
                </c:ext>
              </c:extLst>
            </c:dLbl>
            <c:dLbl>
              <c:idx val="2"/>
              <c:tx>
                <c:rich>
                  <a:bodyPr/>
                  <a:lstStyle/>
                  <a:p>
                    <a:fld id="{4AF3460D-AE8F-4BE2-9C03-853C0E813199}"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2CD-4BA3-AE4E-51A8D9203BC5}"/>
                </c:ext>
              </c:extLst>
            </c:dLbl>
            <c:dLbl>
              <c:idx val="3"/>
              <c:tx>
                <c:rich>
                  <a:bodyPr/>
                  <a:lstStyle/>
                  <a:p>
                    <a:fld id="{5D65E016-B1DB-4502-8EC2-9F0266A75473}"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2CD-4BA3-AE4E-51A8D9203BC5}"/>
                </c:ext>
              </c:extLst>
            </c:dLbl>
            <c:dLbl>
              <c:idx val="4"/>
              <c:tx>
                <c:rich>
                  <a:bodyPr/>
                  <a:lstStyle/>
                  <a:p>
                    <a:fld id="{79D621BF-7AA8-4401-BC10-ABF9C34D1AB6}"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2CD-4BA3-AE4E-51A8D9203BC5}"/>
                </c:ext>
              </c:extLst>
            </c:dLbl>
            <c:dLbl>
              <c:idx val="5"/>
              <c:tx>
                <c:rich>
                  <a:bodyPr/>
                  <a:lstStyle/>
                  <a:p>
                    <a:fld id="{2D01E407-D2F3-4589-A3DE-D96BC766F5FB}"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2CD-4BA3-AE4E-51A8D9203BC5}"/>
                </c:ext>
              </c:extLst>
            </c:dLbl>
            <c:dLbl>
              <c:idx val="6"/>
              <c:tx>
                <c:rich>
                  <a:bodyPr/>
                  <a:lstStyle/>
                  <a:p>
                    <a:fld id="{38B2C5AD-861F-48E5-8680-5C03754E04D3}"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2CD-4BA3-AE4E-51A8D9203BC5}"/>
                </c:ext>
              </c:extLst>
            </c:dLbl>
            <c:dLbl>
              <c:idx val="7"/>
              <c:tx>
                <c:rich>
                  <a:bodyPr/>
                  <a:lstStyle/>
                  <a:p>
                    <a:fld id="{62877470-7181-4D7A-99B1-B57F139633D0}"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2CD-4BA3-AE4E-51A8D9203BC5}"/>
                </c:ext>
              </c:extLst>
            </c:dLbl>
            <c:dLbl>
              <c:idx val="8"/>
              <c:tx>
                <c:rich>
                  <a:bodyPr/>
                  <a:lstStyle/>
                  <a:p>
                    <a:fld id="{7FDB7325-85B1-43B9-81BB-FD3C2AF4045E}"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2CD-4BA3-AE4E-51A8D9203BC5}"/>
                </c:ext>
              </c:extLst>
            </c:dLbl>
            <c:dLbl>
              <c:idx val="9"/>
              <c:tx>
                <c:rich>
                  <a:bodyPr/>
                  <a:lstStyle/>
                  <a:p>
                    <a:fld id="{D2C6BE32-4D8B-4118-B843-C1BF5995E5B8}"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2CD-4BA3-AE4E-51A8D9203BC5}"/>
                </c:ext>
              </c:extLst>
            </c:dLbl>
            <c:dLbl>
              <c:idx val="10"/>
              <c:tx>
                <c:rich>
                  <a:bodyPr/>
                  <a:lstStyle/>
                  <a:p>
                    <a:fld id="{0302562C-7D2B-4057-AA02-FB7CE7141F2A}"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2CD-4BA3-AE4E-51A8D9203BC5}"/>
                </c:ext>
              </c:extLst>
            </c:dLbl>
            <c:dLbl>
              <c:idx val="11"/>
              <c:tx>
                <c:rich>
                  <a:bodyPr/>
                  <a:lstStyle/>
                  <a:p>
                    <a:fld id="{1020FCB9-C5B2-4DCB-8640-B312E94FF677}"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2CD-4BA3-AE4E-51A8D9203BC5}"/>
                </c:ext>
              </c:extLst>
            </c:dLbl>
            <c:dLbl>
              <c:idx val="12"/>
              <c:tx>
                <c:rich>
                  <a:bodyPr/>
                  <a:lstStyle/>
                  <a:p>
                    <a:fld id="{E549DAB6-C6C8-47F3-84FF-F7C233AA66CB}"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2CD-4BA3-AE4E-51A8D9203BC5}"/>
                </c:ext>
              </c:extLst>
            </c:dLbl>
            <c:dLbl>
              <c:idx val="13"/>
              <c:tx>
                <c:rich>
                  <a:bodyPr/>
                  <a:lstStyle/>
                  <a:p>
                    <a:fld id="{6CF7D8C0-9E6A-43F0-BE94-83F3787C606F}"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2CD-4BA3-AE4E-51A8D9203BC5}"/>
                </c:ext>
              </c:extLst>
            </c:dLbl>
            <c:dLbl>
              <c:idx val="14"/>
              <c:tx>
                <c:rich>
                  <a:bodyPr/>
                  <a:lstStyle/>
                  <a:p>
                    <a:fld id="{BB600721-28FF-4E85-8813-3513D58CBAEB}"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2CD-4BA3-AE4E-51A8D9203BC5}"/>
                </c:ext>
              </c:extLst>
            </c:dLbl>
            <c:dLbl>
              <c:idx val="15"/>
              <c:tx>
                <c:rich>
                  <a:bodyPr/>
                  <a:lstStyle/>
                  <a:p>
                    <a:fld id="{99781901-0B48-4C2E-AACD-81BADCF05A4E}"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2CD-4BA3-AE4E-51A8D9203BC5}"/>
                </c:ext>
              </c:extLst>
            </c:dLbl>
            <c:dLbl>
              <c:idx val="16"/>
              <c:tx>
                <c:rich>
                  <a:bodyPr/>
                  <a:lstStyle/>
                  <a:p>
                    <a:fld id="{5C2120B7-504C-4AC6-8DD3-2F5DCB0D1FA8}"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2CD-4BA3-AE4E-51A8D9203BC5}"/>
                </c:ext>
              </c:extLst>
            </c:dLbl>
            <c:dLbl>
              <c:idx val="17"/>
              <c:tx>
                <c:rich>
                  <a:bodyPr/>
                  <a:lstStyle/>
                  <a:p>
                    <a:fld id="{DFA1C24A-2F2B-48CA-8784-1449E8E24E6E}"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2CD-4BA3-AE4E-51A8D9203BC5}"/>
                </c:ext>
              </c:extLst>
            </c:dLbl>
            <c:dLbl>
              <c:idx val="18"/>
              <c:tx>
                <c:rich>
                  <a:bodyPr/>
                  <a:lstStyle/>
                  <a:p>
                    <a:fld id="{F3735E93-7A3A-4763-816D-EC830CECC5D9}"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2CD-4BA3-AE4E-51A8D9203BC5}"/>
                </c:ext>
              </c:extLst>
            </c:dLbl>
            <c:dLbl>
              <c:idx val="19"/>
              <c:tx>
                <c:rich>
                  <a:bodyPr/>
                  <a:lstStyle/>
                  <a:p>
                    <a:fld id="{1D0C9970-A23B-431B-AB3B-1B29182BE168}"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2CD-4BA3-AE4E-51A8D9203BC5}"/>
                </c:ext>
              </c:extLst>
            </c:dLbl>
            <c:dLbl>
              <c:idx val="20"/>
              <c:tx>
                <c:rich>
                  <a:bodyPr/>
                  <a:lstStyle/>
                  <a:p>
                    <a:fld id="{5448A5BA-0B64-411B-8E00-98832F4F495B}"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2CD-4BA3-AE4E-51A8D9203BC5}"/>
                </c:ext>
              </c:extLst>
            </c:dLbl>
            <c:dLbl>
              <c:idx val="21"/>
              <c:tx>
                <c:rich>
                  <a:bodyPr/>
                  <a:lstStyle/>
                  <a:p>
                    <a:fld id="{450A01F3-D5C6-44C2-8FE0-AFD420D2EDA7}"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2CD-4BA3-AE4E-51A8D9203BC5}"/>
                </c:ext>
              </c:extLst>
            </c:dLbl>
            <c:dLbl>
              <c:idx val="22"/>
              <c:tx>
                <c:rich>
                  <a:bodyPr/>
                  <a:lstStyle/>
                  <a:p>
                    <a:fld id="{AD778739-F598-424C-B9E1-E900A52D0ACB}"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2CD-4BA3-AE4E-51A8D9203BC5}"/>
                </c:ext>
              </c:extLst>
            </c:dLbl>
            <c:dLbl>
              <c:idx val="23"/>
              <c:tx>
                <c:rich>
                  <a:bodyPr/>
                  <a:lstStyle/>
                  <a:p>
                    <a:fld id="{4C2420CD-92DA-43D3-8265-88556877F8D7}"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2CD-4BA3-AE4E-51A8D9203BC5}"/>
                </c:ext>
              </c:extLst>
            </c:dLbl>
            <c:dLbl>
              <c:idx val="24"/>
              <c:tx>
                <c:rich>
                  <a:bodyPr/>
                  <a:lstStyle/>
                  <a:p>
                    <a:fld id="{479256F8-1DE4-41F2-9F96-225204626A0F}"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2CD-4BA3-AE4E-51A8D9203BC5}"/>
                </c:ext>
              </c:extLst>
            </c:dLbl>
            <c:dLbl>
              <c:idx val="25"/>
              <c:tx>
                <c:rich>
                  <a:bodyPr/>
                  <a:lstStyle/>
                  <a:p>
                    <a:fld id="{B5016B13-8094-4E65-A84E-A13A1ECCA490}"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2CD-4BA3-AE4E-51A8D9203BC5}"/>
                </c:ext>
              </c:extLst>
            </c:dLbl>
            <c:dLbl>
              <c:idx val="26"/>
              <c:tx>
                <c:rich>
                  <a:bodyPr/>
                  <a:lstStyle/>
                  <a:p>
                    <a:fld id="{A1D40F16-1B32-49D6-8084-F9A32374E494}"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2CD-4BA3-AE4E-51A8D9203BC5}"/>
                </c:ext>
              </c:extLst>
            </c:dLbl>
            <c:dLbl>
              <c:idx val="27"/>
              <c:tx>
                <c:rich>
                  <a:bodyPr/>
                  <a:lstStyle/>
                  <a:p>
                    <a:fld id="{1C25FFDB-0078-4EBD-BBD8-2D9098C9C6C4}" type="CELLRANGE">
                      <a:rPr lang="en-NL"/>
                      <a:pPr/>
                      <a:t>[CELLRANGE]</a:t>
                    </a:fld>
                    <a:endParaRPr lang="en-NL"/>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2CD-4BA3-AE4E-51A8D9203BC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L"/>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'Hits Correlation'!$C$2:$C$29</c:f>
              <c:numCache>
                <c:formatCode>General</c:formatCode>
                <c:ptCount val="28"/>
                <c:pt idx="0">
                  <c:v>71.3</c:v>
                </c:pt>
                <c:pt idx="1">
                  <c:v>67.8</c:v>
                </c:pt>
                <c:pt idx="2">
                  <c:v>65.599999999999994</c:v>
                </c:pt>
                <c:pt idx="3">
                  <c:v>87.9</c:v>
                </c:pt>
                <c:pt idx="4">
                  <c:v>84.2</c:v>
                </c:pt>
                <c:pt idx="5">
                  <c:v>62.4</c:v>
                </c:pt>
                <c:pt idx="6">
                  <c:v>77.8</c:v>
                </c:pt>
                <c:pt idx="7">
                  <c:v>82.5</c:v>
                </c:pt>
                <c:pt idx="8">
                  <c:v>73.2</c:v>
                </c:pt>
                <c:pt idx="9">
                  <c:v>75.400000000000006</c:v>
                </c:pt>
                <c:pt idx="10">
                  <c:v>71.5</c:v>
                </c:pt>
                <c:pt idx="11">
                  <c:v>60.6</c:v>
                </c:pt>
                <c:pt idx="12">
                  <c:v>45.4</c:v>
                </c:pt>
                <c:pt idx="13">
                  <c:v>64.400000000000006</c:v>
                </c:pt>
                <c:pt idx="14">
                  <c:v>65.400000000000006</c:v>
                </c:pt>
                <c:pt idx="15">
                  <c:v>56</c:v>
                </c:pt>
                <c:pt idx="16">
                  <c:v>52.3</c:v>
                </c:pt>
                <c:pt idx="17">
                  <c:v>42.3</c:v>
                </c:pt>
                <c:pt idx="18">
                  <c:v>48.8</c:v>
                </c:pt>
                <c:pt idx="19">
                  <c:v>73.5</c:v>
                </c:pt>
                <c:pt idx="20">
                  <c:v>64.099999999999994</c:v>
                </c:pt>
                <c:pt idx="21">
                  <c:v>73.8</c:v>
                </c:pt>
                <c:pt idx="22">
                  <c:v>68.8</c:v>
                </c:pt>
                <c:pt idx="23">
                  <c:v>72.599999999999994</c:v>
                </c:pt>
                <c:pt idx="24">
                  <c:v>49.9</c:v>
                </c:pt>
                <c:pt idx="25">
                  <c:v>45.5</c:v>
                </c:pt>
                <c:pt idx="26">
                  <c:v>70.5</c:v>
                </c:pt>
                <c:pt idx="27">
                  <c:v>59.6</c:v>
                </c:pt>
              </c:numCache>
            </c:numRef>
          </c:xVal>
          <c:yVal>
            <c:numRef>
              <c:f>'Hits Correlation'!$N$2:$N$29</c:f>
              <c:numCache>
                <c:formatCode>General</c:formatCode>
                <c:ptCount val="28"/>
                <c:pt idx="0">
                  <c:v>0.4</c:v>
                </c:pt>
                <c:pt idx="1">
                  <c:v>0.88</c:v>
                </c:pt>
                <c:pt idx="2">
                  <c:v>0.88</c:v>
                </c:pt>
                <c:pt idx="3">
                  <c:v>0.7400000000000001</c:v>
                </c:pt>
                <c:pt idx="4">
                  <c:v>1</c:v>
                </c:pt>
                <c:pt idx="5">
                  <c:v>1</c:v>
                </c:pt>
                <c:pt idx="6">
                  <c:v>0.65</c:v>
                </c:pt>
                <c:pt idx="7">
                  <c:v>1</c:v>
                </c:pt>
                <c:pt idx="8">
                  <c:v>0.96999999999999986</c:v>
                </c:pt>
                <c:pt idx="9">
                  <c:v>1</c:v>
                </c:pt>
                <c:pt idx="10">
                  <c:v>0.99</c:v>
                </c:pt>
                <c:pt idx="11">
                  <c:v>0.99</c:v>
                </c:pt>
                <c:pt idx="12">
                  <c:v>1</c:v>
                </c:pt>
                <c:pt idx="13">
                  <c:v>1</c:v>
                </c:pt>
                <c:pt idx="14">
                  <c:v>0.94000000000000006</c:v>
                </c:pt>
                <c:pt idx="15">
                  <c:v>0.99</c:v>
                </c:pt>
                <c:pt idx="16">
                  <c:v>0.78</c:v>
                </c:pt>
                <c:pt idx="17">
                  <c:v>1</c:v>
                </c:pt>
                <c:pt idx="18">
                  <c:v>1</c:v>
                </c:pt>
                <c:pt idx="19">
                  <c:v>1</c:v>
                </c:pt>
                <c:pt idx="20">
                  <c:v>0.55000000000000004</c:v>
                </c:pt>
                <c:pt idx="21">
                  <c:v>0.98</c:v>
                </c:pt>
                <c:pt idx="22">
                  <c:v>1</c:v>
                </c:pt>
                <c:pt idx="23">
                  <c:v>0.9900000000000001</c:v>
                </c:pt>
                <c:pt idx="24">
                  <c:v>0.88</c:v>
                </c:pt>
                <c:pt idx="25">
                  <c:v>1</c:v>
                </c:pt>
                <c:pt idx="26">
                  <c:v>0.99</c:v>
                </c:pt>
                <c:pt idx="27">
                  <c:v>1</c:v>
                </c:pt>
              </c:numCache>
            </c:numRef>
          </c:yVal>
          <c:smooth val="0"/>
          <c:extLst>
            <c:ext xmlns:c15="http://schemas.microsoft.com/office/drawing/2012/chart" uri="{02D57815-91ED-43cb-92C2-25804820EDAC}">
              <c15:datalabelsRange>
                <c15:f>'Hits Correlation'!$A$2:$A$29</c15:f>
                <c15:dlblRangeCache>
                  <c:ptCount val="28"/>
                  <c:pt idx="0">
                    <c:v>doe</c:v>
                  </c:pt>
                  <c:pt idx="1">
                    <c:v>There'll Never Be Enough of Us</c:v>
                  </c:pt>
                  <c:pt idx="2">
                    <c:v>Letter of Survival</c:v>
                  </c:pt>
                  <c:pt idx="3">
                    <c:v>Alignment</c:v>
                  </c:pt>
                  <c:pt idx="4">
                    <c:v>Debts of Honor</c:v>
                  </c:pt>
                  <c:pt idx="5">
                    <c:v>Looks Can Be Deceiving</c:v>
                  </c:pt>
                  <c:pt idx="6">
                    <c:v>No more Trio</c:v>
                  </c:pt>
                  <c:pt idx="7">
                    <c:v>Air</c:v>
                  </c:pt>
                  <c:pt idx="8">
                    <c:v>Until Tomorrow</c:v>
                  </c:pt>
                  <c:pt idx="9">
                    <c:v>Hunting Shadows</c:v>
                  </c:pt>
                  <c:pt idx="10">
                    <c:v>Hermione Granger and the silent country</c:v>
                  </c:pt>
                  <c:pt idx="11">
                    <c:v>Finding their way back to love</c:v>
                  </c:pt>
                  <c:pt idx="12">
                    <c:v>Shield and Star</c:v>
                  </c:pt>
                  <c:pt idx="13">
                    <c:v>Runes and Rituals</c:v>
                  </c:pt>
                  <c:pt idx="14">
                    <c:v>To the You of 1994</c:v>
                  </c:pt>
                  <c:pt idx="15">
                    <c:v>Metanoia</c:v>
                  </c:pt>
                  <c:pt idx="16">
                    <c:v>But Daddy I Love Him</c:v>
                  </c:pt>
                  <c:pt idx="17">
                    <c:v>Love Me Like You Do</c:v>
                  </c:pt>
                  <c:pt idx="18">
                    <c:v>Learning To Dance</c:v>
                  </c:pt>
                  <c:pt idx="19">
                    <c:v>A Year Abroad</c:v>
                  </c:pt>
                  <c:pt idx="20">
                    <c:v>Alignment – Through the Arch</c:v>
                  </c:pt>
                  <c:pt idx="21">
                    <c:v>The Observer Effect</c:v>
                  </c:pt>
                  <c:pt idx="22">
                    <c:v>The Flower Shop</c:v>
                  </c:pt>
                  <c:pt idx="23">
                    <c:v>Light to fight the shadows</c:v>
                  </c:pt>
                  <c:pt idx="24">
                    <c:v>My Love Mine All Mine</c:v>
                  </c:pt>
                  <c:pt idx="25">
                    <c:v>This Ship has Sailed</c:v>
                  </c:pt>
                  <c:pt idx="26">
                    <c:v>To Feel To Fall</c:v>
                  </c:pt>
                  <c:pt idx="27">
                    <c:v>A Life in Letters</c:v>
                  </c:pt>
                </c15:dlblRangeCache>
              </c15:datalabelsRange>
            </c:ext>
            <c:ext xmlns:c16="http://schemas.microsoft.com/office/drawing/2014/chart" uri="{C3380CC4-5D6E-409C-BE32-E72D297353CC}">
              <c16:uniqueId val="{00000000-32CD-4BA3-AE4E-51A8D9203BC5}"/>
            </c:ext>
          </c:extLst>
        </c:ser>
        <c:dLbls>
          <c:dLblPos val="t"/>
          <c:showLegendKey val="0"/>
          <c:showVal val="1"/>
          <c:showCatName val="0"/>
          <c:showSerName val="0"/>
          <c:showPercent val="0"/>
          <c:showBubbleSize val="0"/>
        </c:dLbls>
        <c:axId val="1836379279"/>
        <c:axId val="1945687391"/>
      </c:scatterChart>
      <c:valAx>
        <c:axId val="18363792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nl-NL" sz="2000" b="1" i="0" u="none" strike="noStrike" kern="1200" baseline="0">
                    <a:solidFill>
                      <a:sysClr val="windowText" lastClr="000000">
                        <a:lumMod val="65000"/>
                        <a:lumOff val="35000"/>
                      </a:sysClr>
                    </a:solidFill>
                    <a:latin typeface="Times New Roman" panose="02020603050405020304" pitchFamily="18" charset="0"/>
                    <a:cs typeface="Times New Roman" panose="02020603050405020304" pitchFamily="18" charset="0"/>
                  </a:rPr>
                  <a:t>Rubric Score (%)</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45687391"/>
        <c:crosses val="autoZero"/>
        <c:crossBetween val="midCat"/>
      </c:valAx>
      <c:valAx>
        <c:axId val="1945687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nl-NL" sz="1600">
                    <a:latin typeface="Times New Roman" panose="02020603050405020304" pitchFamily="18" charset="0"/>
                    <a:cs typeface="Times New Roman" panose="02020603050405020304" pitchFamily="18" charset="0"/>
                  </a:rPr>
                  <a:t>Reduction Factor on Hits/Time to model lifecycle stage</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363792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342900</xdr:colOff>
      <xdr:row>0</xdr:row>
      <xdr:rowOff>129540</xdr:rowOff>
    </xdr:from>
    <xdr:to>
      <xdr:col>36</xdr:col>
      <xdr:colOff>365760</xdr:colOff>
      <xdr:row>32</xdr:row>
      <xdr:rowOff>0</xdr:rowOff>
    </xdr:to>
    <xdr:graphicFrame macro="">
      <xdr:nvGraphicFramePr>
        <xdr:cNvPr id="3" name="Chart 2">
          <a:extLst>
            <a:ext uri="{FF2B5EF4-FFF2-40B4-BE49-F238E27FC236}">
              <a16:creationId xmlns:a16="http://schemas.microsoft.com/office/drawing/2014/main" id="{0461C784-EDC3-2130-FBFF-7062E57D2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323850</xdr:colOff>
      <xdr:row>33</xdr:row>
      <xdr:rowOff>30480</xdr:rowOff>
    </xdr:from>
    <xdr:to>
      <xdr:col>36</xdr:col>
      <xdr:colOff>369570</xdr:colOff>
      <xdr:row>55</xdr:row>
      <xdr:rowOff>53789</xdr:rowOff>
    </xdr:to>
    <xdr:graphicFrame macro="">
      <xdr:nvGraphicFramePr>
        <xdr:cNvPr id="2" name="Chart 1">
          <a:extLst>
            <a:ext uri="{FF2B5EF4-FFF2-40B4-BE49-F238E27FC236}">
              <a16:creationId xmlns:a16="http://schemas.microsoft.com/office/drawing/2014/main" id="{084AFD42-CB98-9F99-FC87-D2816F7A2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A6BADA47-F405-4C79-BB0C-27B0A97F01DA}" autoFormatId="16" applyNumberFormats="0" applyBorderFormats="0" applyFontFormats="0" applyPatternFormats="0" applyAlignmentFormats="0" applyWidthHeightFormats="0">
  <queryTableRefresh nextId="18">
    <queryTableFields count="15">
      <queryTableField id="1" name="Titel" tableColumnId="1"/>
      <queryTableField id="2" name="Author" tableColumnId="2"/>
      <queryTableField id="3" name="URL" tableColumnId="3"/>
      <queryTableField id="4" name="Status" tableColumnId="4"/>
      <queryTableField id="5" name="Wordcount(k)" tableColumnId="5"/>
      <queryTableField id="6" name="Vikmione Type" tableColumnId="6"/>
      <queryTableField id="7" name="Focus" tableColumnId="7"/>
      <queryTableField id="8" name="Plot Summary" tableColumnId="8"/>
      <queryTableField id="9" name="Strongest Point" tableColumnId="9"/>
      <queryTableField id="10" name="Weakest Point" tableColumnId="10"/>
      <queryTableField id="11" name="War solution" tableColumnId="11"/>
      <queryTableField id="12" name="Total Hits" tableColumnId="12"/>
      <queryTableField id="13" name="Years since Publication" tableColumnId="13"/>
      <queryTableField id="16" name="Popularity Score" tableColumnId="14"/>
      <queryTableField id="15" name="Execution Scor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CCDB32B-700E-43E8-9BBA-398D457FDB2D}" autoFormatId="16" applyNumberFormats="0" applyBorderFormats="0" applyFontFormats="0" applyPatternFormats="0" applyAlignmentFormats="0" applyWidthHeightFormats="0">
  <queryTableRefresh nextId="6">
    <queryTableFields count="5">
      <queryTableField id="1" name="Titel" tableColumnId="1"/>
      <queryTableField id="2" name="T" tableColumnId="2"/>
      <queryTableField id="3" name="Rank1" tableColumnId="3"/>
      <queryTableField id="4" name="Rank2" tableColumnId="4"/>
      <queryTableField id="5" name="Rank Diff Square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7E4C760-5A2B-46AF-80BA-B99AE3F10317}" autoFormatId="16" applyNumberFormats="0" applyBorderFormats="0" applyFontFormats="0" applyPatternFormats="0" applyAlignmentFormats="0" applyWidthHeightFormats="0">
  <queryTableRefresh nextId="39">
    <queryTableFields count="26">
      <queryTableField id="1" name="Titel" tableColumnId="1"/>
      <queryTableField id="2" name="Canon" tableColumnId="2"/>
      <queryTableField id="3" name="Psychology" tableColumnId="3"/>
      <queryTableField id="4" name="Romance" tableColumnId="4"/>
      <queryTableField id="5" name="Narrative" tableColumnId="5"/>
      <queryTableField id="6" name="Style" tableColumnId="6"/>
      <queryTableField id="7" name="Theme" tableColumnId="7"/>
      <queryTableField id="8" name="Worldbuild" tableColumnId="8"/>
      <queryTableField id="9" name="Viktor" tableColumnId="9"/>
      <queryTableField id="10" name="Original" tableColumnId="10"/>
      <queryTableField id="11" name="Integration" tableColumnId="11"/>
      <queryTableField id="25" name="Sum1" tableColumnId="25"/>
      <queryTableField id="13" name="Canon2" tableColumnId="13"/>
      <queryTableField id="14" name="Psychology2" tableColumnId="14"/>
      <queryTableField id="15" name="Romance2" tableColumnId="15"/>
      <queryTableField id="16" name="Narrative2" tableColumnId="16"/>
      <queryTableField id="17" name="Style2" tableColumnId="17"/>
      <queryTableField id="18" name="Theme2" tableColumnId="18"/>
      <queryTableField id="19" name="Worldbuild2" tableColumnId="19"/>
      <queryTableField id="20" name="Viktor2" tableColumnId="20"/>
      <queryTableField id="21" name="Original2" tableColumnId="21"/>
      <queryTableField id="22" name="Integration2" tableColumnId="22"/>
      <queryTableField id="26" name="Sum2" tableColumnId="26"/>
      <queryTableField id="12" name="Total" tableColumnId="12"/>
      <queryTableField id="23" name="Total2" tableColumnId="23"/>
      <queryTableField id="24" name="T" tableColumnId="2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3F41FC8-BE09-4D7A-840E-AD4D87D3FDC1}" autoFormatId="16" applyNumberFormats="0" applyBorderFormats="0" applyFontFormats="0" applyPatternFormats="0" applyAlignmentFormats="0" applyWidthHeightFormats="0">
  <queryTableRefresh nextId="21">
    <queryTableFields count="14">
      <queryTableField id="1" name="Titel" tableColumnId="1"/>
      <queryTableField id="2" name="Label" tableColumnId="2"/>
      <queryTableField id="3" name="T" tableColumnId="3"/>
      <queryTableField id="4" name="Delta" tableColumnId="4"/>
      <queryTableField id="5" name="Status" tableColumnId="5"/>
      <queryTableField id="6" name="Type" tableColumnId="6"/>
      <queryTableField id="7" name="Hits/Time" tableColumnId="7"/>
      <queryTableField id="8" name="Kudos/Hits" tableColumnId="8"/>
      <queryTableField id="9" name="Comments/Hits" tableColumnId="9"/>
      <queryTableField id="10" name="RankT" tableColumnId="10"/>
      <queryTableField id="11" name="RankHits" tableColumnId="11"/>
      <queryTableField id="12" name="Squared Rank Diff" tableColumnId="12"/>
      <queryTableField id="13" name="Outliers" tableColumnId="13"/>
      <queryTableField id="20" name="Reduction"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8C29B3-6CE1-40FC-AD39-2481D9B9D41B}" name="Summary" displayName="Summary" ref="A1:O42" tableType="queryTable" totalsRowShown="0" headerRowDxfId="141" dataDxfId="140">
  <autoFilter ref="A1:O42" xr:uid="{1C8C29B3-6CE1-40FC-AD39-2481D9B9D41B}">
    <filterColumn colId="5">
      <filters>
        <filter val="Alternate Reality"/>
        <filter val="Canon-div"/>
        <filter val="Intermezzo"/>
        <filter val="Postwar"/>
      </filters>
    </filterColumn>
  </autoFilter>
  <sortState xmlns:xlrd2="http://schemas.microsoft.com/office/spreadsheetml/2017/richdata2" ref="A2:O41">
    <sortCondition descending="1" ref="O1:O42"/>
  </sortState>
  <tableColumns count="15">
    <tableColumn id="1" xr3:uid="{23277CFB-F12D-46A2-906B-0624D88C3D28}" uniqueName="1" name="Titel" queryTableFieldId="1" dataDxfId="56"/>
    <tableColumn id="2" xr3:uid="{22687F22-4EB4-47B1-8B78-32867011503C}" uniqueName="2" name="Author" queryTableFieldId="2" dataDxfId="55"/>
    <tableColumn id="3" xr3:uid="{78F02C83-5F14-4B5D-BB93-466828D08D19}" uniqueName="3" name="URL" queryTableFieldId="3" dataDxfId="54"/>
    <tableColumn id="4" xr3:uid="{B954A527-7D50-4E38-A5CA-2086E99EBB25}" uniqueName="4" name="Status" queryTableFieldId="4" dataDxfId="53"/>
    <tableColumn id="5" xr3:uid="{6773D946-AB84-4359-AB2B-8AF3E97988B7}" uniqueName="5" name="Wordcount(k)" queryTableFieldId="5" dataDxfId="52"/>
    <tableColumn id="6" xr3:uid="{C303E062-8EEC-4B65-B1F5-7E9645025373}" uniqueName="6" name="Vikmione Type" queryTableFieldId="6" dataDxfId="51"/>
    <tableColumn id="7" xr3:uid="{18E67320-776D-45B0-8AE3-056D525A06F5}" uniqueName="7" name="Focus" queryTableFieldId="7" dataDxfId="50"/>
    <tableColumn id="8" xr3:uid="{6D317C12-60FD-4445-9F70-49835C241474}" uniqueName="8" name="Plot Summary" queryTableFieldId="8" dataDxfId="49"/>
    <tableColumn id="9" xr3:uid="{88EAA7A5-9D9E-4992-9555-03D7BB45E7C7}" uniqueName="9" name="Strongest Point" queryTableFieldId="9" dataDxfId="48"/>
    <tableColumn id="10" xr3:uid="{0D3B14A6-F027-4B8D-95EA-09488CD299E6}" uniqueName="10" name="Weakest Point" queryTableFieldId="10" dataDxfId="47"/>
    <tableColumn id="11" xr3:uid="{659B1B0A-7CAC-47F2-91BF-5D1B4FE8204B}" uniqueName="11" name="War solution" queryTableFieldId="11" dataDxfId="46"/>
    <tableColumn id="12" xr3:uid="{CC3F483D-5B9B-430D-9F91-7302737AF32F}" uniqueName="12" name="Total Hits" queryTableFieldId="12" dataDxfId="45"/>
    <tableColumn id="13" xr3:uid="{2091CC7C-D964-4432-A0EB-355B535FDCAD}" uniqueName="13" name="Years since Publication" queryTableFieldId="13" dataDxfId="44"/>
    <tableColumn id="14" xr3:uid="{3BC14A4B-BB30-44CD-8D7A-726D7E288BA9}" uniqueName="14" name="Popularity Score" queryTableFieldId="16" dataDxfId="43"/>
    <tableColumn id="15" xr3:uid="{A64CC7F3-DB22-4AB5-9B62-09847C510220}" uniqueName="15" name="Execution Score" queryTableFieldId="15" dataDxfId="42"/>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AE76E2-7860-4628-86A9-CE68A69CA57D}" name="Spearman_Calculation" displayName="Spearman_Calculation" ref="A1:E31" tableType="queryTable" totalsRowShown="0" headerRowDxfId="139" dataDxfId="138">
  <autoFilter ref="A1:E31" xr:uid="{90AE76E2-7860-4628-86A9-CE68A69CA57D}"/>
  <tableColumns count="5">
    <tableColumn id="1" xr3:uid="{020C16A6-F968-49B1-B162-ACDB7BBE1B9A}" uniqueName="1" name="Titel" queryTableFieldId="1" dataDxfId="41"/>
    <tableColumn id="2" xr3:uid="{FBEFACE0-477A-4AA1-87FA-62EB52BF22BA}" uniqueName="2" name="T" queryTableFieldId="2" dataDxfId="40"/>
    <tableColumn id="3" xr3:uid="{993CFEAF-05CA-4AE2-B6F1-58149958C887}" uniqueName="3" name="Rank1" queryTableFieldId="3" dataDxfId="39"/>
    <tableColumn id="4" xr3:uid="{06E8441F-90A0-4C82-BD01-4BD1926109EF}" uniqueName="4" name="Rank2" queryTableFieldId="4" dataDxfId="38"/>
    <tableColumn id="5" xr3:uid="{ECBD0EE1-523A-4100-AD4F-F56A3175732B}" uniqueName="5" name="Rank Diff Squared" queryTableFieldId="5" dataDxfId="37"/>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3B3515-5FC9-4C7C-84A4-862C76CC6FEB}" name="MAD_Alpha_Calculation" displayName="MAD_Alpha_Calculation" ref="A1:Z31" tableType="queryTable" totalsRowShown="0" headerRowDxfId="137" dataDxfId="136">
  <autoFilter ref="A1:Z31" xr:uid="{903B3515-5FC9-4C7C-84A4-862C76CC6FEB}"/>
  <tableColumns count="26">
    <tableColumn id="1" xr3:uid="{BF858F34-2EC7-48DC-AB47-05A6670829FC}" uniqueName="1" name="Titel" queryTableFieldId="1" dataDxfId="36"/>
    <tableColumn id="2" xr3:uid="{B3774EDC-211F-47FD-9E1C-25B6B3D8400C}" uniqueName="2" name="Canon" queryTableFieldId="2" dataDxfId="35"/>
    <tableColumn id="3" xr3:uid="{7B4A60AE-3C30-4B97-B9D2-D4BE2087AD42}" uniqueName="3" name="Psychology" queryTableFieldId="3" dataDxfId="34"/>
    <tableColumn id="4" xr3:uid="{E3E40F0F-6E23-4234-BE0F-27C01A33C0AA}" uniqueName="4" name="Romance" queryTableFieldId="4" dataDxfId="33"/>
    <tableColumn id="5" xr3:uid="{DED79C03-B6CE-47AA-86F7-F9B7B6FBF9F4}" uniqueName="5" name="Narrative" queryTableFieldId="5" dataDxfId="32"/>
    <tableColumn id="6" xr3:uid="{9AAABCDE-BEEC-47FA-B6EA-F629CEF53402}" uniqueName="6" name="Style" queryTableFieldId="6" dataDxfId="31"/>
    <tableColumn id="7" xr3:uid="{744DB581-37EF-4DDC-9272-5B35DA5527FA}" uniqueName="7" name="Theme" queryTableFieldId="7" dataDxfId="30"/>
    <tableColumn id="8" xr3:uid="{D9F6E97A-AAE4-4CAA-9828-B8C4E69D1E7F}" uniqueName="8" name="Worldbuild" queryTableFieldId="8" dataDxfId="29"/>
    <tableColumn id="9" xr3:uid="{0128445F-D737-4290-BC2A-077BD27F0B8B}" uniqueName="9" name="Viktor" queryTableFieldId="9" dataDxfId="28"/>
    <tableColumn id="10" xr3:uid="{F75E2AB8-C5D5-4C06-BD76-7A47233BC6AE}" uniqueName="10" name="Original" queryTableFieldId="10" dataDxfId="27"/>
    <tableColumn id="11" xr3:uid="{EED2602E-F504-4C87-88C6-B450679DC05E}" uniqueName="11" name="Integration" queryTableFieldId="11" dataDxfId="26"/>
    <tableColumn id="25" xr3:uid="{E0F14B24-A8B1-4BC4-940B-444CC6620CB9}" uniqueName="25" name="Sum1" queryTableFieldId="25"/>
    <tableColumn id="13" xr3:uid="{07A764AA-CFAC-4CF6-AC5C-1004C04FE7F4}" uniqueName="13" name="Canon2" queryTableFieldId="13" dataDxfId="25"/>
    <tableColumn id="14" xr3:uid="{94DB9CB5-8221-44AF-9CA7-095E31A14F2B}" uniqueName="14" name="Psychology2" queryTableFieldId="14" dataDxfId="24"/>
    <tableColumn id="15" xr3:uid="{15758E23-94BD-4372-9BB3-457AA0527B79}" uniqueName="15" name="Romance2" queryTableFieldId="15" dataDxfId="23"/>
    <tableColumn id="16" xr3:uid="{7A7F9865-63EC-47CE-A5B0-74DB84725000}" uniqueName="16" name="Narrative2" queryTableFieldId="16" dataDxfId="22"/>
    <tableColumn id="17" xr3:uid="{7547CB6C-7B20-4A98-A391-E5478B6D6CAC}" uniqueName="17" name="Style2" queryTableFieldId="17" dataDxfId="21"/>
    <tableColumn id="18" xr3:uid="{46BDF939-6E50-4BCA-91D0-6F5DD88D57D4}" uniqueName="18" name="Theme2" queryTableFieldId="18" dataDxfId="20"/>
    <tableColumn id="19" xr3:uid="{1E5A05A0-6123-4388-B66B-DD1778AA0E6F}" uniqueName="19" name="Worldbuild2" queryTableFieldId="19" dataDxfId="19"/>
    <tableColumn id="20" xr3:uid="{2E6A1972-48DA-455D-A9DA-6F3BDDAB1F0D}" uniqueName="20" name="Viktor2" queryTableFieldId="20" dataDxfId="18"/>
    <tableColumn id="21" xr3:uid="{A8882A9C-A8F6-465F-B39E-32FC9ECF0221}" uniqueName="21" name="Original2" queryTableFieldId="21" dataDxfId="17"/>
    <tableColumn id="22" xr3:uid="{C6E93CC6-3798-4FC3-9E33-92B9B0FA9717}" uniqueName="22" name="Integration2" queryTableFieldId="22" dataDxfId="16"/>
    <tableColumn id="26" xr3:uid="{8BF333E6-BA10-4EEF-9CAA-58B4A48D7EF3}" uniqueName="26" name="Sum2" queryTableFieldId="26"/>
    <tableColumn id="12" xr3:uid="{D1959E0A-EFB6-48CF-9761-219E850D5E20}" uniqueName="12" name="Total" queryTableFieldId="12" dataDxfId="15"/>
    <tableColumn id="23" xr3:uid="{69BAB205-BAB8-481C-A22C-481DD3072C6F}" uniqueName="23" name="Total2" queryTableFieldId="23" dataDxfId="14"/>
    <tableColumn id="24" xr3:uid="{69D0BE63-C985-4DDE-8161-C31DB9D1B55F}" uniqueName="24" name="T" queryTableFieldId="24" dataDxfId="13"/>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FC4DAB-0BED-4071-8F80-4379B328EE83}" name="Score_Hits_Correlation" displayName="Score_Hits_Correlation" ref="A1:N29" tableType="queryTable" totalsRowShown="0" headerRowDxfId="135" dataDxfId="134">
  <autoFilter ref="A1:N29" xr:uid="{7EFC4DAB-0BED-4071-8F80-4379B328EE83}"/>
  <tableColumns count="14">
    <tableColumn id="1" xr3:uid="{B0659DD4-FA81-4260-8D10-915929650723}" uniqueName="1" name="Titel" queryTableFieldId="1" dataDxfId="12"/>
    <tableColumn id="2" xr3:uid="{8B546D3F-1F01-45DE-BC15-53627D63DBD0}" uniqueName="2" name="Label" queryTableFieldId="2" dataDxfId="11"/>
    <tableColumn id="3" xr3:uid="{5418E4D8-E83A-42E1-96AF-60857FC311C0}" uniqueName="3" name="T" queryTableFieldId="3" dataDxfId="10"/>
    <tableColumn id="4" xr3:uid="{CCB904CB-824B-4ECC-A8BE-F90A6E86718C}" uniqueName="4" name="Delta" queryTableFieldId="4" dataDxfId="9"/>
    <tableColumn id="5" xr3:uid="{9DEAF257-6969-4155-A616-BD31640852E4}" uniqueName="5" name="Status" queryTableFieldId="5" dataDxfId="8"/>
    <tableColumn id="6" xr3:uid="{92984F6D-843E-4A61-A82B-99E5B1579768}" uniqueName="6" name="Type" queryTableFieldId="6" dataDxfId="7"/>
    <tableColumn id="7" xr3:uid="{33B7D60F-543D-49A1-984C-096B26C5DB64}" uniqueName="7" name="Hits/Time" queryTableFieldId="7" dataDxfId="6"/>
    <tableColumn id="8" xr3:uid="{3EEFD211-44AC-4E06-858B-D3321048DCD3}" uniqueName="8" name="Kudos/Hits" queryTableFieldId="8" dataDxfId="5"/>
    <tableColumn id="9" xr3:uid="{0AFC2299-22A9-401C-8413-8E57E8D5C808}" uniqueName="9" name="Comments/Hits" queryTableFieldId="9" dataDxfId="4"/>
    <tableColumn id="10" xr3:uid="{4B2A8A8F-BB47-4522-9706-34D545A50B95}" uniqueName="10" name="RankT" queryTableFieldId="10" dataDxfId="3"/>
    <tableColumn id="11" xr3:uid="{99A66775-4970-4935-A0E6-B45B15EDECD1}" uniqueName="11" name="RankHits" queryTableFieldId="11" dataDxfId="2"/>
    <tableColumn id="12" xr3:uid="{DBE3801B-8FB4-41FD-AE48-AE9E57D39747}" uniqueName="12" name="Squared Rank Diff" queryTableFieldId="12" dataDxfId="1"/>
    <tableColumn id="13" xr3:uid="{6DBCB4CA-A084-4F00-9796-D6B64A543D7A}" uniqueName="13" name="Outliers" queryTableFieldId="13" dataDxfId="0"/>
    <tableColumn id="15" xr3:uid="{876A98A9-8758-4A3C-9D65-3330A9808DA6}" uniqueName="15" name="Reduction" queryTableFieldId="20"/>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375132-6E49-4FD2-BEC1-713D1682FDCB}" name="Table3" displayName="Table3" ref="A1:BS44" totalsRowShown="0" headerRowDxfId="133" dataDxfId="132">
  <autoFilter ref="A1:BS44" xr:uid="{53375132-6E49-4FD2-BEC1-713D1682FDCB}"/>
  <sortState xmlns:xlrd2="http://schemas.microsoft.com/office/spreadsheetml/2017/richdata2" ref="A2:BS44">
    <sortCondition descending="1" ref="AS1:AS44"/>
  </sortState>
  <tableColumns count="71">
    <tableColumn id="1" xr3:uid="{2E3F3E23-796E-4522-A4AA-58E0315F2508}" name="Titel" dataDxfId="131"/>
    <tableColumn id="23" xr3:uid="{951180CC-4733-457F-A060-B419000219D2}" name="Canon" dataDxfId="130"/>
    <tableColumn id="22" xr3:uid="{6565AA47-7CAD-4A13-89AC-E7E14D4E1837}" name="Psychology" dataDxfId="129"/>
    <tableColumn id="21" xr3:uid="{AF7DFD48-A477-4D6B-A51C-390AF32A570A}" name="Romance" dataDxfId="128"/>
    <tableColumn id="20" xr3:uid="{55ED2B22-EF4B-4F46-941D-45FA83068DA5}" name="Narrative" dataDxfId="127"/>
    <tableColumn id="19" xr3:uid="{705955D0-584B-485F-8B50-67077D51F1C5}" name="Style" dataDxfId="126"/>
    <tableColumn id="18" xr3:uid="{662D9F3A-040D-48A9-B383-113D6170F1AA}" name="Theme" dataDxfId="125"/>
    <tableColumn id="17" xr3:uid="{2337B53B-3794-4C3C-88DA-906146194D95}" name="Worldbuild" dataDxfId="124"/>
    <tableColumn id="16" xr3:uid="{0760D94A-8931-48FE-9C9C-ED5AEC3046E4}" name="Viktor" dataDxfId="123"/>
    <tableColumn id="15" xr3:uid="{3E0E5194-D476-4D0C-8930-602DE9C357EB}" name="Original" dataDxfId="122"/>
    <tableColumn id="14" xr3:uid="{76EF317F-C425-480B-B57D-D64C7B479485}" name="Integration" dataDxfId="121"/>
    <tableColumn id="13" xr3:uid="{A40A61F8-7307-4E7A-B2D9-EEA9265F6B65}" name="A" dataDxfId="120">
      <calculatedColumnFormula>(C2+E2+F2+G2)/4</calculatedColumnFormula>
    </tableColumn>
    <tableColumn id="2" xr3:uid="{3201AC46-384B-4D28-AD48-21FB6328D261}" name="B" dataDxfId="119">
      <calculatedColumnFormula>(B2+H2)/2</calculatedColumnFormula>
    </tableColumn>
    <tableColumn id="3" xr3:uid="{75B55AE2-EB04-4EED-8F2C-271EFE036FAD}" name="C" dataDxfId="118">
      <calculatedColumnFormula>(D2+I2+J2+K2)/4</calculatedColumnFormula>
    </tableColumn>
    <tableColumn id="4" xr3:uid="{A9EAFE10-404F-44EC-A081-68934D8FB9CF}" name="D" dataDxfId="117">
      <calculatedColumnFormula>(D2+G2)/2</calculatedColumnFormula>
    </tableColumn>
    <tableColumn id="8" xr3:uid="{2D96DB2F-1D9E-4B30-82D5-1B9422B893CC}" name="E" dataDxfId="116">
      <calculatedColumnFormula>ROUND((1/3)*(C2+D2+F2),1)</calculatedColumnFormula>
    </tableColumn>
    <tableColumn id="7" xr3:uid="{3D3829FD-A3FF-42D6-AFD1-27ED37911FA2}" name="F" dataDxfId="115">
      <calculatedColumnFormula>ROUND((1/4)*(E2+H2+J2+K2),1)</calculatedColumnFormula>
    </tableColumn>
    <tableColumn id="9" xr3:uid="{F620387C-8CF1-4F04-BB11-8D4EE14BB31C}" name="Analysis" dataDxfId="114">
      <calculatedColumnFormula>S2-10*MIN(P2,Q2,B2)</calculatedColumnFormula>
    </tableColumn>
    <tableColumn id="5" xr3:uid="{BA6B8629-39BC-4FDD-8785-1E8238169730}" name="Total" dataDxfId="113">
      <calculatedColumnFormula>ROUND(0.5*(10/3)*(L2+M2+N2)+(1-0.5)*10*MIN(L2,M2,N2,O2),1)</calculatedColumnFormula>
    </tableColumn>
    <tableColumn id="6" xr3:uid="{D8DED6F2-078C-4373-9162-F40C415C93B1}" name="Drift" dataDxfId="112">
      <calculatedColumnFormula>ROUND((10/3)*(L2+M2+N2) - 10*MIN(L2,M2,N2,O2),0)</calculatedColumnFormula>
    </tableColumn>
    <tableColumn id="10" xr3:uid="{34ED6B23-83C3-4D8A-B6DE-06BBFFD5D8A1}" name="Canon2" dataDxfId="111"/>
    <tableColumn id="11" xr3:uid="{4AAF4AF9-2625-45CE-B218-B2323971A6B8}" name="Psychology2" dataDxfId="110"/>
    <tableColumn id="12" xr3:uid="{442267C2-7E6A-49D4-A8FC-CF5950FCE6EE}" name="Romance2" dataDxfId="109"/>
    <tableColumn id="24" xr3:uid="{0493EEFC-A94F-4FDC-9E71-80FAF492D2B0}" name="Narrative2" dataDxfId="108"/>
    <tableColumn id="25" xr3:uid="{9226DB19-47B3-44A4-9B6E-4C1CD04A6E40}" name="Style2" dataDxfId="107"/>
    <tableColumn id="26" xr3:uid="{E3BAFCBE-8C48-4C0E-949E-78FE5DED5EBD}" name="Theme2" dataDxfId="106"/>
    <tableColumn id="27" xr3:uid="{F2C983E4-F504-4D27-BC0D-7A4CE4453DF3}" name="Worldbuild2" dataDxfId="105"/>
    <tableColumn id="28" xr3:uid="{98AB0B38-2DE5-4C49-910E-A632A2CF67A6}" name="Viktor2" dataDxfId="104"/>
    <tableColumn id="29" xr3:uid="{13597BEB-41FE-40ED-A91B-11659DBA5B34}" name="Original2" dataDxfId="103"/>
    <tableColumn id="30" xr3:uid="{759C96EE-B1FC-43EB-9772-55E48729792C}" name="Integration2" dataDxfId="102"/>
    <tableColumn id="31" xr3:uid="{4BFDF3D2-0E90-4D70-B234-DF7B3D218C2A}" name="A2" dataDxfId="101">
      <calculatedColumnFormula>(V2+X2+Y2+Z2)/4</calculatedColumnFormula>
    </tableColumn>
    <tableColumn id="32" xr3:uid="{8F6A6E75-199B-48E5-BACA-CF73824FEA20}" name="B2" dataDxfId="100">
      <calculatedColumnFormula>(U2+AA2)/2</calculatedColumnFormula>
    </tableColumn>
    <tableColumn id="33" xr3:uid="{74423AE4-3778-4FFA-913A-9044BD94E73F}" name="C2" dataDxfId="99">
      <calculatedColumnFormula>(W2+AB2+AC2+AD2)/4</calculatedColumnFormula>
    </tableColumn>
    <tableColumn id="34" xr3:uid="{9604AFFE-C13F-4275-B10D-51194F32038A}" name="D2" dataDxfId="98">
      <calculatedColumnFormula>(W2+Z2)/2</calculatedColumnFormula>
    </tableColumn>
    <tableColumn id="35" xr3:uid="{9156A6AF-4B47-4FD1-B110-4E828CDD3E30}" name="E2" dataDxfId="97">
      <calculatedColumnFormula>ROUND((V2+W2+Y2)/3,1)</calculatedColumnFormula>
    </tableColumn>
    <tableColumn id="36" xr3:uid="{154180FF-AF43-4079-8833-21E6692F0F96}" name="F2" dataDxfId="96">
      <calculatedColumnFormula>ROUND((X2+AA2+AC2+AD2)/4,1)</calculatedColumnFormula>
    </tableColumn>
    <tableColumn id="37" xr3:uid="{C18CBE3A-2C51-49C8-BDD0-061E7A8E3B84}" name="Analysis2" dataDxfId="95">
      <calculatedColumnFormula>AL2-10*MIN(AI2,AJ2,AF2)</calculatedColumnFormula>
    </tableColumn>
    <tableColumn id="38" xr3:uid="{A79272A5-8DEC-408A-9E9C-EC3A3C66F9B9}" name="Total2" dataDxfId="94">
      <calculatedColumnFormula>ROUND(0.5*(10/3)*(AE2+AF2+AG2)+(1-0.5)*10*MIN(AE2,AF2,AG2,AH2),1)</calculatedColumnFormula>
    </tableColumn>
    <tableColumn id="39" xr3:uid="{5944EA24-6682-4E8E-AED2-86F2939C793F}" name="Drift2" dataDxfId="93">
      <calculatedColumnFormula>ROUND((10/3)*(AE2+AF2+AG2)-10*MIN(AE2,AF2,AG2,AH2),0)</calculatedColumnFormula>
    </tableColumn>
    <tableColumn id="40" xr3:uid="{CD76B329-6A72-4102-9ADF-2CE0BF0FB7E1}" name="Label" dataDxfId="92"/>
    <tableColumn id="42" xr3:uid="{7D693DD9-9FB2-47B8-BC42-62C5413F64D3}" name="Aavg" dataDxfId="91">
      <calculatedColumnFormula>(V2+X2+Y2+Z2+C2+E2+F2+G2)/8</calculatedColumnFormula>
    </tableColumn>
    <tableColumn id="43" xr3:uid="{9D30E272-C42A-4610-8115-D8C44C73E6CA}" name="Bavg" dataDxfId="90">
      <calculatedColumnFormula>(B2+H2+U2+AA2)/4</calculatedColumnFormula>
    </tableColumn>
    <tableColumn id="44" xr3:uid="{814AF177-3ADB-4ABE-A9EA-0B43084DF0CD}" name="Cavg" dataDxfId="89">
      <calculatedColumnFormula>(W2+AB2+AC2+AD2+D2+I2+J2+K2)/8</calculatedColumnFormula>
    </tableColumn>
    <tableColumn id="45" xr3:uid="{579492A9-4805-44E3-AD22-C6A87FFE7EAE}" name="Davg" dataDxfId="88">
      <calculatedColumnFormula>(D2+W2+G2+Z2)/4</calculatedColumnFormula>
    </tableColumn>
    <tableColumn id="46" xr3:uid="{E6A7BF46-87C8-4BCD-9BA7-3858E5E90FE5}" name="T" dataDxfId="87">
      <calculatedColumnFormula>ROUND(0.5*(10/3)*(AO2+AP2+AQ2)+(1-0.5)*10*MIN(AO2,AP2,AQ2,AR2),1)</calculatedColumnFormula>
    </tableColumn>
    <tableColumn id="47" xr3:uid="{B1EB8987-B046-45E3-B174-E06C6053D10F}" name="Delta" dataDxfId="86">
      <calculatedColumnFormula>ROUND((10/3)*(AO2+AP2+AQ2)-10*MIN(AO2,AP2,AQ2,AR2),0)</calculatedColumnFormula>
    </tableColumn>
    <tableColumn id="52" xr3:uid="{258C88AC-8346-4C37-91A0-241538821F77}" name="Wordcount(k)" dataDxfId="85"/>
    <tableColumn id="53" xr3:uid="{13DEAEF2-0686-4E86-8010-861E3BBFF4DD}" name="Hits" dataDxfId="84"/>
    <tableColumn id="54" xr3:uid="{07DDF41E-0AE3-4D8E-8E15-8982D6B414C4}" name="Kudos" dataDxfId="83"/>
    <tableColumn id="55" xr3:uid="{B2494D06-5569-4AB8-B56E-42C3B636C97E}" name="Comments" dataDxfId="82"/>
    <tableColumn id="56" xr3:uid="{C5EF492D-10DD-419E-8D03-7A00A4E7B5ED}" name="Startdate6" dataDxfId="81"/>
    <tableColumn id="57" xr3:uid="{F6D8DEFF-F174-42EA-9577-A2501077540D}" name="Status" dataDxfId="80"/>
    <tableColumn id="58" xr3:uid="{0AE35C6A-EC2F-40F7-862B-EFF86869CB85}" name="Type" dataDxfId="79"/>
    <tableColumn id="61" xr3:uid="{88B6DA17-909C-4588-ACBE-AD09785DBCB7}" name="Measurement Point" dataDxfId="78"/>
    <tableColumn id="59" xr3:uid="{38919225-A786-4019-8AC9-A22B79ED5B52}" name="Time Delta" dataDxfId="77">
      <calculatedColumnFormula>BB2-AY2</calculatedColumnFormula>
    </tableColumn>
    <tableColumn id="62" xr3:uid="{F142B3DF-8CB5-48E2-BEB1-65DE441B3523}" name="Hits/Time" dataDxfId="76">
      <calculatedColumnFormula>ROUND(AV2/BC2,1)</calculatedColumnFormula>
    </tableColumn>
    <tableColumn id="60" xr3:uid="{74C05F26-C068-4209-98AB-095DD5188C96}" name="Kudos/Hits" dataDxfId="75">
      <calculatedColumnFormula>ROUND(100*AW2/AV2,1)</calculatedColumnFormula>
    </tableColumn>
    <tableColumn id="63" xr3:uid="{3A17CF93-481A-40FD-A986-83A19BF0CC53}" name="Comments/Hits" dataDxfId="74">
      <calculatedColumnFormula>ROUND(100*AX2/AV2,1)</calculatedColumnFormula>
    </tableColumn>
    <tableColumn id="48" xr3:uid="{6D5F77D4-3DB2-40F5-8858-5356D8C201E4}" name="Correction" dataDxfId="73">
      <calculatedColumnFormula>LOOKUP(BC2,$A$47:$A$61,$B$47:$B$61)</calculatedColumnFormula>
    </tableColumn>
    <tableColumn id="49" xr3:uid="{49902E21-C8FE-4A29-9CFC-6A30D15817C4}" name="Clickability score" dataDxfId="72"/>
    <tableColumn id="51" xr3:uid="{137B140F-11D8-4256-AA2D-F09F099D72DB}" name="Outliers" dataDxfId="71"/>
    <tableColumn id="65" xr3:uid="{D57B6164-0A18-43A7-86FB-BB3F9AAD60E5}" name="Public Score" dataDxfId="70">
      <calculatedColumnFormula>BD2*BG2</calculatedColumnFormula>
    </tableColumn>
    <tableColumn id="76" xr3:uid="{BB66E16D-4002-48AF-AB17-D9EF63E729B3}" name="Focus" dataDxfId="69"/>
    <tableColumn id="77" xr3:uid="{AA4AA948-878F-4D8E-9DB3-7040A321423D}" name="Plot Summary" dataDxfId="68"/>
    <tableColumn id="78" xr3:uid="{D19F2E3A-0DE4-40C8-A4E6-68E6BBAEDABA}" name="War solution" dataDxfId="67"/>
    <tableColumn id="79" xr3:uid="{B733EDFE-C1FA-4D7D-BC47-EAD99E4ACEC1}" name="Strongest Point" dataDxfId="66"/>
    <tableColumn id="80" xr3:uid="{773790EC-AF04-401F-9A8B-602904218551}" name="Weakest Point" dataDxfId="65"/>
    <tableColumn id="82" xr3:uid="{9245FDF5-ACAA-482F-95A0-04F76D80C78C}" name="Vikmione Type" dataDxfId="64"/>
    <tableColumn id="83" xr3:uid="{299633E3-6FD8-42EF-BE15-A7E343ED14EE}" name="Type Justification" dataDxfId="63"/>
    <tableColumn id="50" xr3:uid="{ECFDABB6-82FD-4CBC-8EE4-5344477433D3}" name="Author" dataDxfId="62"/>
    <tableColumn id="64" xr3:uid="{1CC06276-86D5-4CAB-A788-8D401CC54F03}" name="URL" dataDxfId="61"/>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390720-D367-4A6F-B2B0-23DC3D55A00E}" name="Table6" displayName="Table6" ref="A46:B61" totalsRowShown="0" headerRowDxfId="60" dataDxfId="59">
  <autoFilter ref="A46:B61" xr:uid="{46390720-D367-4A6F-B2B0-23DC3D55A00E}"/>
  <tableColumns count="2">
    <tableColumn id="1" xr3:uid="{5AF1A72A-62A6-4D5A-A52F-EA9D4C82AF28}" name="Time Delta" dataDxfId="58"/>
    <tableColumn id="2" xr3:uid="{B73663AE-C428-4D20-BBF8-A77DD4F202E4}" name="Correction" dataDxfId="57"/>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rchiveofourown.org/series/5376601" TargetMode="External"/><Relationship Id="rId1" Type="http://schemas.openxmlformats.org/officeDocument/2006/relationships/hyperlink" Target="https://archiveofourown.org/works/3402233" TargetMode="Externa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49A5-CD1D-43F3-AE9D-B5C999A3C1AB}">
  <dimension ref="A1:O42"/>
  <sheetViews>
    <sheetView tabSelected="1" topLeftCell="K1" workbookViewId="0">
      <selection activeCell="P5" sqref="P5"/>
    </sheetView>
  </sheetViews>
  <sheetFormatPr defaultRowHeight="14.4" x14ac:dyDescent="0.3"/>
  <cols>
    <col min="1" max="1" width="40.109375" bestFit="1" customWidth="1"/>
    <col min="2" max="2" width="30.44140625" bestFit="1" customWidth="1"/>
    <col min="3" max="3" width="36.44140625" style="21" bestFit="1" customWidth="1"/>
    <col min="4" max="4" width="26.33203125" bestFit="1" customWidth="1"/>
    <col min="5" max="5" width="16.44140625" bestFit="1" customWidth="1"/>
    <col min="6" max="6" width="17.5546875" bestFit="1" customWidth="1"/>
    <col min="7" max="7" width="9.109375" bestFit="1" customWidth="1"/>
    <col min="8" max="11" width="80.88671875" bestFit="1" customWidth="1"/>
    <col min="12" max="12" width="12.6640625" bestFit="1" customWidth="1"/>
    <col min="13" max="13" width="25.109375" bestFit="1" customWidth="1"/>
    <col min="14" max="14" width="18.88671875" bestFit="1" customWidth="1"/>
    <col min="15" max="15" width="18.5546875" bestFit="1" customWidth="1"/>
    <col min="16" max="16" width="18.109375" customWidth="1"/>
  </cols>
  <sheetData>
    <row r="1" spans="1:15" ht="15.6" x14ac:dyDescent="0.3">
      <c r="A1" s="9" t="s">
        <v>60</v>
      </c>
      <c r="B1" s="9" t="s">
        <v>381</v>
      </c>
      <c r="C1" s="24" t="s">
        <v>382</v>
      </c>
      <c r="D1" s="9" t="s">
        <v>197</v>
      </c>
      <c r="E1" s="9" t="s">
        <v>199</v>
      </c>
      <c r="F1" s="9" t="s">
        <v>61</v>
      </c>
      <c r="G1" s="9" t="s">
        <v>301</v>
      </c>
      <c r="H1" s="9" t="s">
        <v>302</v>
      </c>
      <c r="I1" s="9" t="s">
        <v>303</v>
      </c>
      <c r="J1" s="9" t="s">
        <v>304</v>
      </c>
      <c r="K1" s="9" t="s">
        <v>37</v>
      </c>
      <c r="L1" s="9" t="s">
        <v>394</v>
      </c>
      <c r="M1" s="9" t="s">
        <v>395</v>
      </c>
      <c r="N1" s="9" t="s">
        <v>417</v>
      </c>
      <c r="O1" s="9" t="s">
        <v>396</v>
      </c>
    </row>
    <row r="2" spans="1:15" ht="15.6" x14ac:dyDescent="0.3">
      <c r="A2" s="9" t="s">
        <v>24</v>
      </c>
      <c r="B2" s="9" t="s">
        <v>62</v>
      </c>
      <c r="C2" s="23" t="s">
        <v>70</v>
      </c>
      <c r="D2" s="9" t="s">
        <v>198</v>
      </c>
      <c r="E2" s="9">
        <v>360</v>
      </c>
      <c r="F2" s="9" t="s">
        <v>222</v>
      </c>
      <c r="G2" s="9" t="s">
        <v>231</v>
      </c>
      <c r="H2" s="22" t="s">
        <v>323</v>
      </c>
      <c r="I2" s="22" t="s">
        <v>232</v>
      </c>
      <c r="J2" s="22" t="s">
        <v>306</v>
      </c>
      <c r="K2" s="22" t="s">
        <v>336</v>
      </c>
      <c r="L2" s="9">
        <v>9138</v>
      </c>
      <c r="M2" s="9">
        <v>0.43</v>
      </c>
      <c r="N2" s="9">
        <v>43.068000000000005</v>
      </c>
      <c r="O2" s="9">
        <v>87.9</v>
      </c>
    </row>
    <row r="3" spans="1:15" ht="15.6" x14ac:dyDescent="0.3">
      <c r="A3" s="9" t="s">
        <v>2</v>
      </c>
      <c r="B3" s="9" t="s">
        <v>63</v>
      </c>
      <c r="C3" s="21" t="s">
        <v>72</v>
      </c>
      <c r="D3" s="9" t="s">
        <v>200</v>
      </c>
      <c r="E3" s="9">
        <v>93</v>
      </c>
      <c r="F3" s="9" t="s">
        <v>222</v>
      </c>
      <c r="G3" s="9" t="s">
        <v>134</v>
      </c>
      <c r="H3" s="22" t="s">
        <v>424</v>
      </c>
      <c r="I3" s="22" t="s">
        <v>426</v>
      </c>
      <c r="J3" s="22" t="s">
        <v>234</v>
      </c>
      <c r="K3" s="22" t="s">
        <v>425</v>
      </c>
      <c r="L3" s="9">
        <v>3156</v>
      </c>
      <c r="M3" s="9">
        <v>0.56000000000000005</v>
      </c>
      <c r="N3" s="9">
        <v>11.934000000000001</v>
      </c>
      <c r="O3" s="9">
        <v>85.4</v>
      </c>
    </row>
    <row r="4" spans="1:15" ht="15.6" x14ac:dyDescent="0.3">
      <c r="A4" s="9" t="s">
        <v>17</v>
      </c>
      <c r="B4" s="9" t="s">
        <v>76</v>
      </c>
      <c r="C4" s="21" t="s">
        <v>75</v>
      </c>
      <c r="D4" s="9" t="s">
        <v>200</v>
      </c>
      <c r="E4" s="9">
        <v>551</v>
      </c>
      <c r="F4" s="9" t="s">
        <v>233</v>
      </c>
      <c r="G4" s="9" t="s">
        <v>231</v>
      </c>
      <c r="H4" s="22" t="s">
        <v>374</v>
      </c>
      <c r="I4" s="22" t="s">
        <v>239</v>
      </c>
      <c r="J4" s="22" t="s">
        <v>240</v>
      </c>
      <c r="K4" s="22" t="s">
        <v>238</v>
      </c>
      <c r="L4" s="9">
        <v>118644</v>
      </c>
      <c r="M4" s="9">
        <v>6.08</v>
      </c>
      <c r="N4" s="9">
        <v>53.5</v>
      </c>
      <c r="O4" s="9">
        <v>84.2</v>
      </c>
    </row>
    <row r="5" spans="1:15" ht="15.6" x14ac:dyDescent="0.3">
      <c r="A5" s="9" t="s">
        <v>16</v>
      </c>
      <c r="B5" s="9" t="s">
        <v>69</v>
      </c>
      <c r="C5" s="21" t="s">
        <v>68</v>
      </c>
      <c r="D5" s="9" t="s">
        <v>200</v>
      </c>
      <c r="E5" s="9">
        <v>253</v>
      </c>
      <c r="F5" s="9" t="s">
        <v>222</v>
      </c>
      <c r="G5" s="9" t="s">
        <v>134</v>
      </c>
      <c r="H5" s="22" t="s">
        <v>229</v>
      </c>
      <c r="I5" s="22" t="s">
        <v>230</v>
      </c>
      <c r="J5" s="22" t="s">
        <v>347</v>
      </c>
      <c r="K5" s="22" t="s">
        <v>335</v>
      </c>
      <c r="L5" s="9">
        <v>95681</v>
      </c>
      <c r="M5" s="9">
        <v>6.92</v>
      </c>
      <c r="N5" s="9">
        <v>37.9</v>
      </c>
      <c r="O5" s="9">
        <v>82.5</v>
      </c>
    </row>
    <row r="6" spans="1:15" ht="15.6" x14ac:dyDescent="0.3">
      <c r="A6" s="9" t="s">
        <v>124</v>
      </c>
      <c r="B6" s="9" t="s">
        <v>62</v>
      </c>
      <c r="C6" s="21" t="s">
        <v>127</v>
      </c>
      <c r="D6" s="9" t="s">
        <v>198</v>
      </c>
      <c r="E6" s="9">
        <v>179</v>
      </c>
      <c r="F6" s="9" t="s">
        <v>222</v>
      </c>
      <c r="G6" s="9" t="s">
        <v>231</v>
      </c>
      <c r="H6" s="22" t="s">
        <v>324</v>
      </c>
      <c r="I6" s="22" t="s">
        <v>267</v>
      </c>
      <c r="J6" s="22" t="s">
        <v>307</v>
      </c>
      <c r="K6" s="22" t="s">
        <v>334</v>
      </c>
      <c r="L6" s="9">
        <v>6016</v>
      </c>
      <c r="M6" s="9">
        <v>0.41</v>
      </c>
      <c r="N6" s="9">
        <v>26.39</v>
      </c>
      <c r="O6" s="9">
        <v>77.8</v>
      </c>
    </row>
    <row r="7" spans="1:15" ht="15.6" hidden="1" x14ac:dyDescent="0.3">
      <c r="A7" s="9" t="s">
        <v>150</v>
      </c>
      <c r="B7" s="9" t="s">
        <v>380</v>
      </c>
      <c r="C7" s="21" t="s">
        <v>71</v>
      </c>
      <c r="D7" s="9"/>
      <c r="E7" s="9"/>
      <c r="F7" s="9" t="s">
        <v>216</v>
      </c>
      <c r="G7" s="9"/>
      <c r="H7" s="22"/>
      <c r="I7" s="22"/>
      <c r="J7" s="22"/>
      <c r="K7" s="22"/>
      <c r="L7" s="9"/>
      <c r="M7" s="9">
        <v>0</v>
      </c>
      <c r="O7" s="9">
        <v>76.900000000000006</v>
      </c>
    </row>
    <row r="8" spans="1:15" ht="15.6" x14ac:dyDescent="0.3">
      <c r="A8" s="9" t="s">
        <v>19</v>
      </c>
      <c r="B8" s="9" t="s">
        <v>86</v>
      </c>
      <c r="C8" s="21" t="s">
        <v>85</v>
      </c>
      <c r="D8" s="9" t="s">
        <v>198</v>
      </c>
      <c r="E8" s="9">
        <v>184</v>
      </c>
      <c r="F8" s="9" t="s">
        <v>281</v>
      </c>
      <c r="G8" s="9" t="s">
        <v>134</v>
      </c>
      <c r="H8" s="22" t="s">
        <v>354</v>
      </c>
      <c r="I8" s="22" t="s">
        <v>356</v>
      </c>
      <c r="J8" s="22" t="s">
        <v>357</v>
      </c>
      <c r="K8" s="22" t="s">
        <v>355</v>
      </c>
      <c r="L8" s="9">
        <v>73529</v>
      </c>
      <c r="M8" s="9">
        <v>6.02</v>
      </c>
      <c r="N8" s="9">
        <v>33.5</v>
      </c>
      <c r="O8" s="9">
        <v>75.400000000000006</v>
      </c>
    </row>
    <row r="9" spans="1:15" ht="15.6" hidden="1" x14ac:dyDescent="0.3">
      <c r="A9" s="9" t="s">
        <v>35</v>
      </c>
      <c r="B9" s="9" t="s">
        <v>120</v>
      </c>
      <c r="C9" s="21" t="s">
        <v>71</v>
      </c>
      <c r="D9" s="9"/>
      <c r="E9" s="9"/>
      <c r="F9" s="9" t="s">
        <v>216</v>
      </c>
      <c r="G9" s="9"/>
      <c r="H9" s="22"/>
      <c r="I9" s="22"/>
      <c r="J9" s="22"/>
      <c r="K9" s="22"/>
      <c r="L9" s="9"/>
      <c r="M9" s="9">
        <v>0</v>
      </c>
      <c r="O9" s="9">
        <v>73.8</v>
      </c>
    </row>
    <row r="10" spans="1:15" ht="15.6" x14ac:dyDescent="0.3">
      <c r="A10" s="9" t="s">
        <v>22</v>
      </c>
      <c r="B10" s="9" t="s">
        <v>103</v>
      </c>
      <c r="C10" s="21" t="s">
        <v>102</v>
      </c>
      <c r="D10" s="9" t="s">
        <v>198</v>
      </c>
      <c r="E10" s="9">
        <v>151</v>
      </c>
      <c r="F10" s="9" t="s">
        <v>233</v>
      </c>
      <c r="G10" s="9" t="s">
        <v>231</v>
      </c>
      <c r="H10" s="22" t="s">
        <v>292</v>
      </c>
      <c r="I10" s="22" t="s">
        <v>397</v>
      </c>
      <c r="J10" s="22" t="s">
        <v>398</v>
      </c>
      <c r="K10" s="22" t="s">
        <v>399</v>
      </c>
      <c r="L10" s="9">
        <v>12725</v>
      </c>
      <c r="M10" s="9">
        <v>4.6399999999999997</v>
      </c>
      <c r="N10" s="9">
        <v>7.35</v>
      </c>
      <c r="O10" s="9">
        <v>73.8</v>
      </c>
    </row>
    <row r="11" spans="1:15" ht="15.6" x14ac:dyDescent="0.3">
      <c r="A11" s="9" t="s">
        <v>7</v>
      </c>
      <c r="B11" s="9" t="s">
        <v>67</v>
      </c>
      <c r="C11" s="21" t="s">
        <v>66</v>
      </c>
      <c r="D11" s="9" t="s">
        <v>198</v>
      </c>
      <c r="E11" s="9">
        <v>146</v>
      </c>
      <c r="F11" s="9" t="s">
        <v>225</v>
      </c>
      <c r="G11" s="9" t="s">
        <v>134</v>
      </c>
      <c r="H11" s="22" t="s">
        <v>364</v>
      </c>
      <c r="I11" s="22" t="s">
        <v>227</v>
      </c>
      <c r="J11" s="22" t="s">
        <v>228</v>
      </c>
      <c r="K11" s="22" t="s">
        <v>226</v>
      </c>
      <c r="L11" s="9">
        <v>34697</v>
      </c>
      <c r="M11" s="9">
        <v>9.61</v>
      </c>
      <c r="N11" s="9">
        <v>9.9</v>
      </c>
      <c r="O11" s="9">
        <v>73.5</v>
      </c>
    </row>
    <row r="12" spans="1:15" ht="15.6" x14ac:dyDescent="0.3">
      <c r="A12" s="9" t="s">
        <v>14</v>
      </c>
      <c r="B12" s="9" t="s">
        <v>113</v>
      </c>
      <c r="C12" s="21" t="s">
        <v>112</v>
      </c>
      <c r="D12" s="9" t="s">
        <v>200</v>
      </c>
      <c r="E12" s="9">
        <v>110</v>
      </c>
      <c r="F12" s="9" t="s">
        <v>222</v>
      </c>
      <c r="G12" s="9" t="s">
        <v>134</v>
      </c>
      <c r="H12" s="22" t="s">
        <v>296</v>
      </c>
      <c r="I12" s="22" t="s">
        <v>400</v>
      </c>
      <c r="J12" s="22" t="s">
        <v>401</v>
      </c>
      <c r="K12" s="22" t="s">
        <v>297</v>
      </c>
      <c r="L12" s="9">
        <v>44624</v>
      </c>
      <c r="M12" s="9">
        <v>3.55</v>
      </c>
      <c r="N12" s="9">
        <v>33.367999999999995</v>
      </c>
      <c r="O12" s="9">
        <v>73.2</v>
      </c>
    </row>
    <row r="13" spans="1:15" ht="15.6" x14ac:dyDescent="0.3">
      <c r="A13" s="9" t="s">
        <v>128</v>
      </c>
      <c r="B13" s="9" t="s">
        <v>130</v>
      </c>
      <c r="C13" s="21" t="s">
        <v>129</v>
      </c>
      <c r="D13" s="9" t="s">
        <v>198</v>
      </c>
      <c r="E13" s="9">
        <v>47</v>
      </c>
      <c r="F13" s="9" t="s">
        <v>281</v>
      </c>
      <c r="G13" s="9" t="s">
        <v>134</v>
      </c>
      <c r="H13" s="22" t="s">
        <v>358</v>
      </c>
      <c r="I13" s="22" t="s">
        <v>257</v>
      </c>
      <c r="J13" s="22" t="s">
        <v>258</v>
      </c>
      <c r="K13" s="22" t="s">
        <v>359</v>
      </c>
      <c r="L13" s="9">
        <v>10247</v>
      </c>
      <c r="M13" s="9">
        <v>5.07</v>
      </c>
      <c r="N13" s="9">
        <v>5.4450000000000003</v>
      </c>
      <c r="O13" s="9">
        <v>72.599999999999994</v>
      </c>
    </row>
    <row r="14" spans="1:15" ht="15.6" hidden="1" x14ac:dyDescent="0.3">
      <c r="A14" s="9" t="s">
        <v>30</v>
      </c>
      <c r="B14" s="9" t="s">
        <v>115</v>
      </c>
      <c r="C14" s="21" t="s">
        <v>71</v>
      </c>
      <c r="D14" s="9"/>
      <c r="E14" s="9"/>
      <c r="F14" s="9" t="s">
        <v>216</v>
      </c>
      <c r="G14" s="9"/>
      <c r="H14" s="22"/>
      <c r="I14" s="22"/>
      <c r="J14" s="22"/>
      <c r="K14" s="22"/>
      <c r="L14" s="9"/>
      <c r="M14" s="9">
        <v>0</v>
      </c>
      <c r="O14" s="9">
        <v>72.099999999999994</v>
      </c>
    </row>
    <row r="15" spans="1:15" ht="15.6" x14ac:dyDescent="0.3">
      <c r="A15" s="9" t="s">
        <v>123</v>
      </c>
      <c r="B15" s="9" t="s">
        <v>84</v>
      </c>
      <c r="C15" s="21" t="s">
        <v>83</v>
      </c>
      <c r="D15" s="9" t="s">
        <v>198</v>
      </c>
      <c r="E15" s="9">
        <v>189</v>
      </c>
      <c r="F15" s="9" t="s">
        <v>225</v>
      </c>
      <c r="G15" s="9" t="s">
        <v>231</v>
      </c>
      <c r="H15" s="22" t="s">
        <v>365</v>
      </c>
      <c r="I15" s="22" t="s">
        <v>249</v>
      </c>
      <c r="J15" s="22" t="s">
        <v>367</v>
      </c>
      <c r="K15" s="22" t="s">
        <v>366</v>
      </c>
      <c r="L15" s="9">
        <v>55616</v>
      </c>
      <c r="M15" s="9">
        <v>5.41</v>
      </c>
      <c r="N15" s="9">
        <v>27.917999999999999</v>
      </c>
      <c r="O15" s="9">
        <v>71.5</v>
      </c>
    </row>
    <row r="16" spans="1:15" ht="15.6" x14ac:dyDescent="0.3">
      <c r="A16" s="9" t="s">
        <v>0</v>
      </c>
      <c r="B16" s="9" t="s">
        <v>78</v>
      </c>
      <c r="C16" s="21" t="s">
        <v>77</v>
      </c>
      <c r="D16" s="9" t="s">
        <v>200</v>
      </c>
      <c r="E16" s="9">
        <v>121</v>
      </c>
      <c r="F16" s="9" t="s">
        <v>222</v>
      </c>
      <c r="G16" s="9" t="s">
        <v>134</v>
      </c>
      <c r="H16" s="22" t="s">
        <v>329</v>
      </c>
      <c r="I16" s="22" t="s">
        <v>241</v>
      </c>
      <c r="J16" s="22" t="s">
        <v>242</v>
      </c>
      <c r="K16" s="22" t="s">
        <v>235</v>
      </c>
      <c r="L16" s="9">
        <v>8100</v>
      </c>
      <c r="M16" s="9">
        <v>0.16</v>
      </c>
      <c r="N16" s="9">
        <v>54</v>
      </c>
      <c r="O16" s="9">
        <v>71.3</v>
      </c>
    </row>
    <row r="17" spans="1:15" ht="15.6" x14ac:dyDescent="0.3">
      <c r="A17" s="9" t="s">
        <v>3</v>
      </c>
      <c r="B17" s="9" t="s">
        <v>109</v>
      </c>
      <c r="C17" s="21" t="s">
        <v>108</v>
      </c>
      <c r="D17" s="9" t="s">
        <v>200</v>
      </c>
      <c r="E17" s="9">
        <v>80</v>
      </c>
      <c r="F17" s="9" t="s">
        <v>225</v>
      </c>
      <c r="G17" s="9" t="s">
        <v>134</v>
      </c>
      <c r="H17" s="22" t="s">
        <v>294</v>
      </c>
      <c r="I17" s="22" t="s">
        <v>402</v>
      </c>
      <c r="J17" s="22" t="s">
        <v>403</v>
      </c>
      <c r="K17" s="22" t="s">
        <v>295</v>
      </c>
      <c r="L17" s="9">
        <v>6770</v>
      </c>
      <c r="M17" s="9">
        <v>5.86</v>
      </c>
      <c r="N17" s="9">
        <v>3.1680000000000001</v>
      </c>
      <c r="O17" s="9">
        <v>70.5</v>
      </c>
    </row>
    <row r="18" spans="1:15" ht="15.6" x14ac:dyDescent="0.3">
      <c r="A18" s="9" t="s">
        <v>12</v>
      </c>
      <c r="B18" s="9" t="s">
        <v>67</v>
      </c>
      <c r="C18" s="21" t="s">
        <v>101</v>
      </c>
      <c r="D18" s="9" t="s">
        <v>198</v>
      </c>
      <c r="E18" s="9">
        <v>92</v>
      </c>
      <c r="F18" s="9" t="s">
        <v>233</v>
      </c>
      <c r="G18" s="9" t="s">
        <v>134</v>
      </c>
      <c r="H18" s="22" t="s">
        <v>290</v>
      </c>
      <c r="I18" s="22" t="s">
        <v>404</v>
      </c>
      <c r="J18" s="22" t="s">
        <v>405</v>
      </c>
      <c r="K18" s="22" t="s">
        <v>291</v>
      </c>
      <c r="L18" s="9">
        <v>22121</v>
      </c>
      <c r="M18" s="9">
        <v>9.7200000000000006</v>
      </c>
      <c r="N18" s="9">
        <v>6.2</v>
      </c>
      <c r="O18" s="9">
        <v>68.8</v>
      </c>
    </row>
    <row r="19" spans="1:15" ht="15.6" x14ac:dyDescent="0.3">
      <c r="A19" s="9" t="s">
        <v>125</v>
      </c>
      <c r="B19" s="9" t="s">
        <v>63</v>
      </c>
      <c r="C19" s="21" t="s">
        <v>104</v>
      </c>
      <c r="D19" s="9" t="s">
        <v>200</v>
      </c>
      <c r="E19" s="9">
        <v>163</v>
      </c>
      <c r="F19" s="9" t="s">
        <v>222</v>
      </c>
      <c r="G19" s="9" t="s">
        <v>134</v>
      </c>
      <c r="H19" s="22" t="s">
        <v>325</v>
      </c>
      <c r="I19" s="22" t="s">
        <v>406</v>
      </c>
      <c r="J19" s="22" t="s">
        <v>407</v>
      </c>
      <c r="K19" s="22" t="s">
        <v>333</v>
      </c>
      <c r="L19" s="9">
        <v>30738</v>
      </c>
      <c r="M19" s="9">
        <v>1.37</v>
      </c>
      <c r="N19" s="9">
        <v>54.207999999999998</v>
      </c>
      <c r="O19" s="9">
        <v>67.8</v>
      </c>
    </row>
    <row r="20" spans="1:15" ht="15.6" x14ac:dyDescent="0.3">
      <c r="A20" s="9" t="s">
        <v>20</v>
      </c>
      <c r="B20" s="9" t="s">
        <v>82</v>
      </c>
      <c r="C20" s="21" t="s">
        <v>89</v>
      </c>
      <c r="D20" s="9" t="s">
        <v>198</v>
      </c>
      <c r="E20" s="9">
        <v>152</v>
      </c>
      <c r="F20" s="9" t="s">
        <v>233</v>
      </c>
      <c r="G20" s="9" t="s">
        <v>134</v>
      </c>
      <c r="H20" s="22" t="s">
        <v>253</v>
      </c>
      <c r="I20" s="22" t="s">
        <v>255</v>
      </c>
      <c r="J20" s="22" t="s">
        <v>256</v>
      </c>
      <c r="K20" s="22" t="s">
        <v>254</v>
      </c>
      <c r="L20" s="9">
        <v>37839</v>
      </c>
      <c r="M20" s="9">
        <v>1.78</v>
      </c>
      <c r="N20" s="9">
        <v>51.216000000000001</v>
      </c>
      <c r="O20" s="9">
        <v>65.599999999999994</v>
      </c>
    </row>
    <row r="21" spans="1:15" ht="15.6" x14ac:dyDescent="0.3">
      <c r="A21" s="9" t="s">
        <v>13</v>
      </c>
      <c r="B21" s="9" t="s">
        <v>111</v>
      </c>
      <c r="C21" s="21" t="s">
        <v>110</v>
      </c>
      <c r="D21" s="9" t="s">
        <v>200</v>
      </c>
      <c r="E21" s="9">
        <v>137</v>
      </c>
      <c r="F21" s="9" t="s">
        <v>222</v>
      </c>
      <c r="G21" s="9" t="s">
        <v>134</v>
      </c>
      <c r="H21" s="22" t="s">
        <v>326</v>
      </c>
      <c r="I21" s="22" t="s">
        <v>408</v>
      </c>
      <c r="J21" s="22" t="s">
        <v>345</v>
      </c>
      <c r="K21" s="22" t="s">
        <v>332</v>
      </c>
      <c r="L21" s="9">
        <v>19992</v>
      </c>
      <c r="M21" s="9">
        <v>2.36</v>
      </c>
      <c r="N21" s="9">
        <v>21.808</v>
      </c>
      <c r="O21" s="9">
        <v>65.400000000000006</v>
      </c>
    </row>
    <row r="22" spans="1:15" ht="15.6" x14ac:dyDescent="0.3">
      <c r="A22" s="9" t="s">
        <v>5</v>
      </c>
      <c r="B22" s="9" t="s">
        <v>98</v>
      </c>
      <c r="C22" s="21" t="s">
        <v>97</v>
      </c>
      <c r="D22" s="9" t="s">
        <v>198</v>
      </c>
      <c r="E22" s="9">
        <v>83</v>
      </c>
      <c r="F22" s="9" t="s">
        <v>233</v>
      </c>
      <c r="G22" s="9" t="s">
        <v>134</v>
      </c>
      <c r="H22" s="22" t="s">
        <v>287</v>
      </c>
      <c r="I22" s="22" t="s">
        <v>409</v>
      </c>
      <c r="J22" s="22" t="s">
        <v>410</v>
      </c>
      <c r="K22" s="22" t="s">
        <v>288</v>
      </c>
      <c r="L22" s="9">
        <v>59888</v>
      </c>
      <c r="M22" s="9">
        <v>6.58</v>
      </c>
      <c r="N22" s="9">
        <v>25</v>
      </c>
      <c r="O22" s="9">
        <v>64.400000000000006</v>
      </c>
    </row>
    <row r="23" spans="1:15" ht="15.6" x14ac:dyDescent="0.3">
      <c r="A23" s="9" t="s">
        <v>23</v>
      </c>
      <c r="B23" s="9" t="s">
        <v>62</v>
      </c>
      <c r="C23" s="21" t="s">
        <v>107</v>
      </c>
      <c r="D23" s="9" t="s">
        <v>198</v>
      </c>
      <c r="E23" s="9">
        <v>29</v>
      </c>
      <c r="F23" s="9" t="s">
        <v>225</v>
      </c>
      <c r="G23" s="9" t="s">
        <v>231</v>
      </c>
      <c r="H23" s="22" t="s">
        <v>368</v>
      </c>
      <c r="I23" s="22" t="s">
        <v>411</v>
      </c>
      <c r="J23" s="22" t="s">
        <v>412</v>
      </c>
      <c r="K23" s="22" t="s">
        <v>369</v>
      </c>
      <c r="L23" s="9">
        <v>755</v>
      </c>
      <c r="M23" s="9">
        <v>0.22</v>
      </c>
      <c r="N23" s="9">
        <v>5.28</v>
      </c>
      <c r="O23" s="9">
        <v>64.099999999999994</v>
      </c>
    </row>
    <row r="24" spans="1:15" ht="15.6" hidden="1" x14ac:dyDescent="0.3">
      <c r="A24" s="9" t="s">
        <v>34</v>
      </c>
      <c r="B24" s="9" t="s">
        <v>117</v>
      </c>
      <c r="C24" s="21" t="s">
        <v>71</v>
      </c>
      <c r="D24" s="9"/>
      <c r="E24" s="9"/>
      <c r="F24" s="9" t="s">
        <v>216</v>
      </c>
      <c r="G24" s="9"/>
      <c r="H24" s="22"/>
      <c r="I24" s="22"/>
      <c r="J24" s="22"/>
      <c r="K24" s="22"/>
      <c r="L24" s="9"/>
      <c r="M24" s="9">
        <v>0</v>
      </c>
      <c r="O24" s="9">
        <v>63.5</v>
      </c>
    </row>
    <row r="25" spans="1:15" ht="15.6" x14ac:dyDescent="0.3">
      <c r="A25" s="9" t="s">
        <v>21</v>
      </c>
      <c r="B25" s="9" t="s">
        <v>91</v>
      </c>
      <c r="C25" s="21" t="s">
        <v>90</v>
      </c>
      <c r="D25" s="9" t="s">
        <v>198</v>
      </c>
      <c r="E25" s="9">
        <v>442</v>
      </c>
      <c r="F25" s="9" t="s">
        <v>222</v>
      </c>
      <c r="G25" s="9" t="s">
        <v>231</v>
      </c>
      <c r="H25" s="22" t="s">
        <v>327</v>
      </c>
      <c r="I25" s="22" t="s">
        <v>259</v>
      </c>
      <c r="J25" s="22" t="s">
        <v>338</v>
      </c>
      <c r="K25" s="22" t="s">
        <v>331</v>
      </c>
      <c r="L25" s="9">
        <v>204829</v>
      </c>
      <c r="M25" s="9">
        <v>11.04</v>
      </c>
      <c r="N25" s="9">
        <v>50.8</v>
      </c>
      <c r="O25" s="9">
        <v>62.4</v>
      </c>
    </row>
    <row r="26" spans="1:15" ht="15.6" hidden="1" x14ac:dyDescent="0.3">
      <c r="A26" s="9" t="s">
        <v>29</v>
      </c>
      <c r="B26" s="9" t="s">
        <v>116</v>
      </c>
      <c r="C26" s="21" t="s">
        <v>71</v>
      </c>
      <c r="D26" s="9"/>
      <c r="E26" s="9"/>
      <c r="F26" s="9" t="s">
        <v>216</v>
      </c>
      <c r="G26" s="9"/>
      <c r="H26" s="22"/>
      <c r="I26" s="22"/>
      <c r="J26" s="22"/>
      <c r="K26" s="22"/>
      <c r="L26" s="9"/>
      <c r="M26" s="9">
        <v>0</v>
      </c>
      <c r="O26" s="9">
        <v>61.3</v>
      </c>
    </row>
    <row r="27" spans="1:15" ht="15.6" x14ac:dyDescent="0.3">
      <c r="A27" s="9" t="s">
        <v>18</v>
      </c>
      <c r="B27" s="9" t="s">
        <v>80</v>
      </c>
      <c r="C27" s="21" t="s">
        <v>79</v>
      </c>
      <c r="D27" s="9" t="s">
        <v>198</v>
      </c>
      <c r="E27" s="9">
        <v>295</v>
      </c>
      <c r="F27" s="9" t="s">
        <v>233</v>
      </c>
      <c r="G27" s="9" t="s">
        <v>134</v>
      </c>
      <c r="H27" s="22" t="s">
        <v>243</v>
      </c>
      <c r="I27" s="22" t="s">
        <v>245</v>
      </c>
      <c r="J27" s="22" t="s">
        <v>246</v>
      </c>
      <c r="K27" s="22" t="s">
        <v>244</v>
      </c>
      <c r="L27" s="9">
        <v>59926</v>
      </c>
      <c r="M27" s="9">
        <v>5.92</v>
      </c>
      <c r="N27" s="9">
        <v>27.422999999999998</v>
      </c>
      <c r="O27" s="9">
        <v>60.6</v>
      </c>
    </row>
    <row r="28" spans="1:15" ht="15.6" x14ac:dyDescent="0.3">
      <c r="A28" s="9" t="s">
        <v>15</v>
      </c>
      <c r="B28" s="9" t="s">
        <v>64</v>
      </c>
      <c r="C28" s="21" t="s">
        <v>65</v>
      </c>
      <c r="D28" s="9" t="s">
        <v>198</v>
      </c>
      <c r="E28" s="9">
        <v>4</v>
      </c>
      <c r="F28" s="9" t="s">
        <v>222</v>
      </c>
      <c r="G28" s="9" t="s">
        <v>134</v>
      </c>
      <c r="H28" s="22" t="s">
        <v>328</v>
      </c>
      <c r="I28" s="22" t="s">
        <v>337</v>
      </c>
      <c r="J28" s="22" t="s">
        <v>224</v>
      </c>
      <c r="K28" s="22" t="s">
        <v>223</v>
      </c>
      <c r="L28" s="9">
        <v>3176</v>
      </c>
      <c r="M28" s="9">
        <v>11.14</v>
      </c>
      <c r="N28" s="9">
        <v>0.8</v>
      </c>
      <c r="O28" s="9">
        <v>59.6</v>
      </c>
    </row>
    <row r="29" spans="1:15" ht="15.6" hidden="1" x14ac:dyDescent="0.3">
      <c r="A29" s="9" t="s">
        <v>31</v>
      </c>
      <c r="B29" s="9" t="s">
        <v>119</v>
      </c>
      <c r="C29" s="21" t="s">
        <v>71</v>
      </c>
      <c r="D29" s="9"/>
      <c r="E29" s="9"/>
      <c r="F29" s="9" t="s">
        <v>216</v>
      </c>
      <c r="G29" s="9"/>
      <c r="H29" s="22"/>
      <c r="I29" s="22"/>
      <c r="J29" s="22"/>
      <c r="K29" s="22"/>
      <c r="L29" s="9"/>
      <c r="M29" s="9">
        <v>0</v>
      </c>
      <c r="O29" s="9">
        <v>59.4</v>
      </c>
    </row>
    <row r="30" spans="1:15" ht="15.6" hidden="1" x14ac:dyDescent="0.3">
      <c r="A30" s="9" t="s">
        <v>36</v>
      </c>
      <c r="B30" s="9" t="s">
        <v>118</v>
      </c>
      <c r="C30" s="21" t="s">
        <v>71</v>
      </c>
      <c r="D30" s="9"/>
      <c r="E30" s="9"/>
      <c r="F30" s="9" t="s">
        <v>216</v>
      </c>
      <c r="G30" s="9"/>
      <c r="H30" s="22"/>
      <c r="I30" s="22"/>
      <c r="J30" s="22"/>
      <c r="K30" s="22"/>
      <c r="L30" s="9"/>
      <c r="M30" s="9">
        <v>0</v>
      </c>
      <c r="O30" s="9">
        <v>59.2</v>
      </c>
    </row>
    <row r="31" spans="1:15" ht="15.6" hidden="1" x14ac:dyDescent="0.3">
      <c r="A31" s="9" t="s">
        <v>149</v>
      </c>
      <c r="B31" s="9" t="s">
        <v>379</v>
      </c>
      <c r="C31" s="21" t="s">
        <v>71</v>
      </c>
      <c r="D31" s="9"/>
      <c r="E31" s="9"/>
      <c r="F31" s="9" t="s">
        <v>216</v>
      </c>
      <c r="G31" s="9"/>
      <c r="H31" s="22"/>
      <c r="I31" s="22"/>
      <c r="J31" s="22"/>
      <c r="K31" s="22"/>
      <c r="L31" s="9"/>
      <c r="M31" s="9">
        <v>0</v>
      </c>
      <c r="O31" s="9">
        <v>57.1</v>
      </c>
    </row>
    <row r="32" spans="1:15" ht="15.6" x14ac:dyDescent="0.3">
      <c r="A32" s="9" t="s">
        <v>4</v>
      </c>
      <c r="B32" s="9" t="s">
        <v>95</v>
      </c>
      <c r="C32" s="21" t="s">
        <v>94</v>
      </c>
      <c r="D32" s="9" t="s">
        <v>198</v>
      </c>
      <c r="E32" s="9">
        <v>82</v>
      </c>
      <c r="F32" s="9" t="s">
        <v>233</v>
      </c>
      <c r="G32" s="9" t="s">
        <v>231</v>
      </c>
      <c r="H32" s="22" t="s">
        <v>263</v>
      </c>
      <c r="I32" s="22" t="s">
        <v>265</v>
      </c>
      <c r="J32" s="22" t="s">
        <v>378</v>
      </c>
      <c r="K32" s="22" t="s">
        <v>264</v>
      </c>
      <c r="L32" s="9">
        <v>34182</v>
      </c>
      <c r="M32" s="9">
        <v>5.39</v>
      </c>
      <c r="N32" s="9">
        <v>17.225999999999999</v>
      </c>
      <c r="O32" s="9">
        <v>56</v>
      </c>
    </row>
    <row r="33" spans="1:15" ht="15.6" hidden="1" x14ac:dyDescent="0.3">
      <c r="A33" s="9" t="s">
        <v>33</v>
      </c>
      <c r="B33" s="9" t="s">
        <v>122</v>
      </c>
      <c r="C33" s="21" t="s">
        <v>71</v>
      </c>
      <c r="D33" s="9"/>
      <c r="E33" s="9"/>
      <c r="F33" s="9" t="s">
        <v>216</v>
      </c>
      <c r="G33" s="9"/>
      <c r="H33" s="22"/>
      <c r="I33" s="22"/>
      <c r="J33" s="22"/>
      <c r="K33" s="22"/>
      <c r="L33" s="9"/>
      <c r="M33" s="9">
        <v>0</v>
      </c>
      <c r="O33" s="9">
        <v>53.1</v>
      </c>
    </row>
    <row r="34" spans="1:15" ht="15.6" x14ac:dyDescent="0.3">
      <c r="A34" s="9" t="s">
        <v>6</v>
      </c>
      <c r="B34" s="9" t="s">
        <v>74</v>
      </c>
      <c r="C34" s="21" t="s">
        <v>73</v>
      </c>
      <c r="D34" s="9" t="s">
        <v>200</v>
      </c>
      <c r="E34" s="9">
        <v>88</v>
      </c>
      <c r="F34" s="9" t="s">
        <v>222</v>
      </c>
      <c r="G34" s="9" t="s">
        <v>134</v>
      </c>
      <c r="H34" s="22" t="s">
        <v>330</v>
      </c>
      <c r="I34" s="22" t="s">
        <v>236</v>
      </c>
      <c r="J34" s="22" t="s">
        <v>237</v>
      </c>
      <c r="K34" s="22" t="s">
        <v>235</v>
      </c>
      <c r="L34" s="9">
        <v>5269</v>
      </c>
      <c r="M34" s="9">
        <v>0.96</v>
      </c>
      <c r="N34" s="9">
        <v>11.778</v>
      </c>
      <c r="O34" s="9">
        <v>52.3</v>
      </c>
    </row>
    <row r="35" spans="1:15" ht="15.6" x14ac:dyDescent="0.3">
      <c r="A35" s="9" t="s">
        <v>1</v>
      </c>
      <c r="B35" s="9" t="s">
        <v>63</v>
      </c>
      <c r="C35" s="21" t="s">
        <v>96</v>
      </c>
      <c r="D35" s="9" t="s">
        <v>198</v>
      </c>
      <c r="E35" s="9">
        <v>12</v>
      </c>
      <c r="F35" s="9" t="s">
        <v>281</v>
      </c>
      <c r="G35" s="9" t="s">
        <v>134</v>
      </c>
      <c r="H35" s="22" t="s">
        <v>348</v>
      </c>
      <c r="I35" s="22" t="s">
        <v>266</v>
      </c>
      <c r="J35" s="22" t="s">
        <v>349</v>
      </c>
      <c r="K35" s="22" t="s">
        <v>353</v>
      </c>
      <c r="L35" s="9">
        <v>2308</v>
      </c>
      <c r="M35" s="9">
        <v>1.23</v>
      </c>
      <c r="N35" s="9">
        <v>4.4879999999999995</v>
      </c>
      <c r="O35" s="9">
        <v>49.9</v>
      </c>
    </row>
    <row r="36" spans="1:15" ht="15.6" x14ac:dyDescent="0.3">
      <c r="A36" s="9" t="s">
        <v>9</v>
      </c>
      <c r="B36" s="9" t="s">
        <v>88</v>
      </c>
      <c r="C36" s="21" t="s">
        <v>87</v>
      </c>
      <c r="D36" s="9" t="s">
        <v>361</v>
      </c>
      <c r="E36" s="9">
        <v>143</v>
      </c>
      <c r="F36" s="9" t="s">
        <v>222</v>
      </c>
      <c r="G36" s="9" t="s">
        <v>134</v>
      </c>
      <c r="H36" s="22" t="s">
        <v>360</v>
      </c>
      <c r="I36" s="22" t="s">
        <v>251</v>
      </c>
      <c r="J36" s="22" t="s">
        <v>252</v>
      </c>
      <c r="K36" s="22" t="s">
        <v>250</v>
      </c>
      <c r="L36" s="9">
        <v>42057</v>
      </c>
      <c r="M36" s="9">
        <v>10.210000000000001</v>
      </c>
      <c r="N36" s="9">
        <v>11.3</v>
      </c>
      <c r="O36" s="9">
        <v>48.8</v>
      </c>
    </row>
    <row r="37" spans="1:15" ht="15.6" x14ac:dyDescent="0.3">
      <c r="A37" s="9" t="s">
        <v>126</v>
      </c>
      <c r="B37" s="9" t="s">
        <v>106</v>
      </c>
      <c r="C37" s="21" t="s">
        <v>105</v>
      </c>
      <c r="D37" s="9" t="s">
        <v>198</v>
      </c>
      <c r="E37" s="9">
        <v>24</v>
      </c>
      <c r="F37" s="9" t="s">
        <v>281</v>
      </c>
      <c r="G37" s="9" t="s">
        <v>134</v>
      </c>
      <c r="H37" s="22" t="s">
        <v>350</v>
      </c>
      <c r="I37" s="22" t="s">
        <v>413</v>
      </c>
      <c r="J37" s="22" t="s">
        <v>414</v>
      </c>
      <c r="K37" s="22" t="s">
        <v>293</v>
      </c>
      <c r="L37" s="9">
        <v>9350</v>
      </c>
      <c r="M37" s="9">
        <v>6.12</v>
      </c>
      <c r="N37" s="9">
        <v>4.2</v>
      </c>
      <c r="O37" s="9">
        <v>45.5</v>
      </c>
    </row>
    <row r="38" spans="1:15" ht="15.6" x14ac:dyDescent="0.3">
      <c r="A38" s="9" t="s">
        <v>11</v>
      </c>
      <c r="B38" s="9" t="s">
        <v>100</v>
      </c>
      <c r="C38" s="21" t="s">
        <v>99</v>
      </c>
      <c r="D38" s="9" t="s">
        <v>362</v>
      </c>
      <c r="E38" s="9">
        <v>150</v>
      </c>
      <c r="F38" s="9" t="s">
        <v>222</v>
      </c>
      <c r="G38" s="9" t="s">
        <v>231</v>
      </c>
      <c r="H38" s="22" t="s">
        <v>363</v>
      </c>
      <c r="I38" s="22" t="s">
        <v>415</v>
      </c>
      <c r="J38" s="22" t="s">
        <v>416</v>
      </c>
      <c r="K38" s="22" t="s">
        <v>289</v>
      </c>
      <c r="L38" s="9">
        <v>76568</v>
      </c>
      <c r="M38" s="9">
        <v>8.16</v>
      </c>
      <c r="N38" s="9">
        <v>25.7</v>
      </c>
      <c r="O38" s="9">
        <v>45.4</v>
      </c>
    </row>
    <row r="39" spans="1:15" ht="15.6" hidden="1" x14ac:dyDescent="0.3">
      <c r="A39" s="9" t="s">
        <v>28</v>
      </c>
      <c r="B39" s="9" t="s">
        <v>121</v>
      </c>
      <c r="C39" s="21" t="s">
        <v>71</v>
      </c>
      <c r="D39" s="9"/>
      <c r="E39" s="9"/>
      <c r="F39" s="9" t="s">
        <v>216</v>
      </c>
      <c r="G39" s="9"/>
      <c r="H39" s="22"/>
      <c r="I39" s="22"/>
      <c r="J39" s="22"/>
      <c r="K39" s="22"/>
      <c r="L39" s="9"/>
      <c r="M39" s="9">
        <v>0</v>
      </c>
      <c r="O39" s="9">
        <v>42.3</v>
      </c>
    </row>
    <row r="40" spans="1:15" ht="15.6" x14ac:dyDescent="0.3">
      <c r="A40" s="9" t="s">
        <v>10</v>
      </c>
      <c r="B40" s="9" t="s">
        <v>93</v>
      </c>
      <c r="C40" s="21" t="s">
        <v>92</v>
      </c>
      <c r="D40" s="9" t="s">
        <v>198</v>
      </c>
      <c r="E40" s="9">
        <v>144</v>
      </c>
      <c r="F40" s="9" t="s">
        <v>225</v>
      </c>
      <c r="G40" s="9" t="s">
        <v>134</v>
      </c>
      <c r="H40" s="22" t="s">
        <v>371</v>
      </c>
      <c r="I40" s="22" t="s">
        <v>261</v>
      </c>
      <c r="J40" s="22" t="s">
        <v>262</v>
      </c>
      <c r="K40" s="22" t="s">
        <v>260</v>
      </c>
      <c r="L40" s="9">
        <v>40283</v>
      </c>
      <c r="M40" s="9">
        <v>9.18</v>
      </c>
      <c r="N40" s="9">
        <v>12</v>
      </c>
      <c r="O40" s="9">
        <v>42.3</v>
      </c>
    </row>
    <row r="41" spans="1:15" ht="15.6" x14ac:dyDescent="0.3">
      <c r="A41" s="9" t="s">
        <v>8</v>
      </c>
      <c r="B41" s="9" t="s">
        <v>82</v>
      </c>
      <c r="C41" s="21" t="s">
        <v>81</v>
      </c>
      <c r="D41" s="9" t="s">
        <v>198</v>
      </c>
      <c r="E41" s="9">
        <v>108</v>
      </c>
      <c r="F41" s="9" t="s">
        <v>225</v>
      </c>
      <c r="G41" s="9" t="s">
        <v>231</v>
      </c>
      <c r="H41" s="22" t="s">
        <v>372</v>
      </c>
      <c r="I41" s="22" t="s">
        <v>247</v>
      </c>
      <c r="J41" s="22" t="s">
        <v>248</v>
      </c>
      <c r="K41" s="22" t="s">
        <v>373</v>
      </c>
      <c r="L41" s="9">
        <v>54743</v>
      </c>
      <c r="M41" s="9">
        <v>3.56</v>
      </c>
      <c r="N41" s="9">
        <v>40.837000000000003</v>
      </c>
      <c r="O41" s="9">
        <v>34.1</v>
      </c>
    </row>
    <row r="42" spans="1:15" ht="15.6" hidden="1" x14ac:dyDescent="0.3">
      <c r="A42" s="9" t="s">
        <v>32</v>
      </c>
      <c r="B42" s="9" t="s">
        <v>114</v>
      </c>
      <c r="C42" s="21" t="s">
        <v>71</v>
      </c>
      <c r="D42" s="9"/>
      <c r="E42" s="9"/>
      <c r="F42" s="9" t="s">
        <v>216</v>
      </c>
      <c r="G42" s="9"/>
      <c r="H42" s="22"/>
      <c r="I42" s="22"/>
      <c r="J42" s="22"/>
      <c r="K42" s="22"/>
      <c r="L42" s="9"/>
      <c r="M42" s="9">
        <v>0</v>
      </c>
      <c r="O42" s="9">
        <v>30.2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F8E78-987D-448C-A75F-84ACBDF3674B}">
  <dimension ref="A1:E35"/>
  <sheetViews>
    <sheetView topLeftCell="A19" workbookViewId="0">
      <selection sqref="A1:E31"/>
    </sheetView>
  </sheetViews>
  <sheetFormatPr defaultRowHeight="14.4" x14ac:dyDescent="0.3"/>
  <cols>
    <col min="1" max="1" width="37.109375" bestFit="1" customWidth="1"/>
    <col min="2" max="2" width="5.44140625" bestFit="1" customWidth="1"/>
    <col min="3" max="4" width="9.33203125" bestFit="1" customWidth="1"/>
    <col min="5" max="5" width="20.88671875" bestFit="1" customWidth="1"/>
  </cols>
  <sheetData>
    <row r="1" spans="1:5" ht="15.6" x14ac:dyDescent="0.3">
      <c r="A1" s="9" t="s">
        <v>60</v>
      </c>
      <c r="B1" s="9" t="s">
        <v>180</v>
      </c>
      <c r="C1" s="9" t="s">
        <v>182</v>
      </c>
      <c r="D1" s="9" t="s">
        <v>183</v>
      </c>
      <c r="E1" s="9" t="s">
        <v>184</v>
      </c>
    </row>
    <row r="2" spans="1:5" ht="15.6" x14ac:dyDescent="0.3">
      <c r="A2" s="9" t="s">
        <v>24</v>
      </c>
      <c r="B2" s="9">
        <v>87.9</v>
      </c>
      <c r="C2" s="9">
        <v>0</v>
      </c>
      <c r="D2" s="9">
        <v>0</v>
      </c>
      <c r="E2" s="9">
        <v>0</v>
      </c>
    </row>
    <row r="3" spans="1:5" ht="15.6" x14ac:dyDescent="0.3">
      <c r="A3" s="9" t="s">
        <v>2</v>
      </c>
      <c r="B3" s="9">
        <v>85.4</v>
      </c>
      <c r="C3" s="9">
        <v>1</v>
      </c>
      <c r="D3" s="9">
        <v>1</v>
      </c>
      <c r="E3" s="9">
        <v>0</v>
      </c>
    </row>
    <row r="4" spans="1:5" ht="15.6" x14ac:dyDescent="0.3">
      <c r="A4" s="9" t="s">
        <v>17</v>
      </c>
      <c r="B4" s="9">
        <v>84.2</v>
      </c>
      <c r="C4" s="9">
        <v>2</v>
      </c>
      <c r="D4" s="9">
        <v>3</v>
      </c>
      <c r="E4" s="9">
        <v>1</v>
      </c>
    </row>
    <row r="5" spans="1:5" ht="15.6" x14ac:dyDescent="0.3">
      <c r="A5" s="9" t="s">
        <v>16</v>
      </c>
      <c r="B5" s="9">
        <v>82.5</v>
      </c>
      <c r="C5" s="9">
        <v>3</v>
      </c>
      <c r="D5" s="9">
        <v>2</v>
      </c>
      <c r="E5" s="9">
        <v>1</v>
      </c>
    </row>
    <row r="6" spans="1:5" ht="15.6" x14ac:dyDescent="0.3">
      <c r="A6" s="9" t="s">
        <v>124</v>
      </c>
      <c r="B6" s="9">
        <v>77.8</v>
      </c>
      <c r="C6" s="9">
        <v>5</v>
      </c>
      <c r="D6" s="9">
        <v>4</v>
      </c>
      <c r="E6" s="9">
        <v>1</v>
      </c>
    </row>
    <row r="7" spans="1:5" ht="15.6" x14ac:dyDescent="0.3">
      <c r="A7" s="9" t="s">
        <v>19</v>
      </c>
      <c r="B7" s="9">
        <v>75.400000000000006</v>
      </c>
      <c r="C7" s="9">
        <v>4</v>
      </c>
      <c r="D7" s="9">
        <v>7</v>
      </c>
      <c r="E7" s="9">
        <v>9</v>
      </c>
    </row>
    <row r="8" spans="1:5" ht="15.6" x14ac:dyDescent="0.3">
      <c r="A8" s="9" t="s">
        <v>22</v>
      </c>
      <c r="B8" s="9">
        <v>73.8</v>
      </c>
      <c r="C8" s="9">
        <v>6</v>
      </c>
      <c r="D8" s="9">
        <v>9</v>
      </c>
      <c r="E8" s="9">
        <v>9</v>
      </c>
    </row>
    <row r="9" spans="1:5" ht="15.6" x14ac:dyDescent="0.3">
      <c r="A9" s="9" t="s">
        <v>7</v>
      </c>
      <c r="B9" s="9">
        <v>73.5</v>
      </c>
      <c r="C9" s="9">
        <v>9</v>
      </c>
      <c r="D9" s="9">
        <v>5</v>
      </c>
      <c r="E9" s="9">
        <v>16</v>
      </c>
    </row>
    <row r="10" spans="1:5" ht="15.6" x14ac:dyDescent="0.3">
      <c r="A10" s="9" t="s">
        <v>14</v>
      </c>
      <c r="B10" s="9">
        <v>73.2</v>
      </c>
      <c r="C10" s="9">
        <v>11</v>
      </c>
      <c r="D10" s="9">
        <v>8</v>
      </c>
      <c r="E10" s="9">
        <v>9</v>
      </c>
    </row>
    <row r="11" spans="1:5" ht="15.6" x14ac:dyDescent="0.3">
      <c r="A11" s="9" t="s">
        <v>128</v>
      </c>
      <c r="B11" s="9">
        <v>72.599999999999994</v>
      </c>
      <c r="C11" s="9">
        <v>12</v>
      </c>
      <c r="D11" s="9">
        <v>6</v>
      </c>
      <c r="E11" s="9">
        <v>36</v>
      </c>
    </row>
    <row r="12" spans="1:5" ht="15.6" x14ac:dyDescent="0.3">
      <c r="A12" s="9" t="s">
        <v>123</v>
      </c>
      <c r="B12" s="9">
        <v>71.5</v>
      </c>
      <c r="C12" s="9">
        <v>7</v>
      </c>
      <c r="D12" s="9">
        <v>15</v>
      </c>
      <c r="E12" s="9">
        <v>64</v>
      </c>
    </row>
    <row r="13" spans="1:5" ht="15.6" x14ac:dyDescent="0.3">
      <c r="A13" s="9" t="s">
        <v>0</v>
      </c>
      <c r="B13" s="9">
        <v>71.3</v>
      </c>
      <c r="C13" s="9">
        <v>8</v>
      </c>
      <c r="D13" s="9">
        <v>12</v>
      </c>
      <c r="E13" s="9">
        <v>16</v>
      </c>
    </row>
    <row r="14" spans="1:5" ht="15.6" x14ac:dyDescent="0.3">
      <c r="A14" s="9" t="s">
        <v>3</v>
      </c>
      <c r="B14" s="9">
        <v>70.5</v>
      </c>
      <c r="C14" s="9">
        <v>10</v>
      </c>
      <c r="D14" s="9">
        <v>11</v>
      </c>
      <c r="E14" s="9">
        <v>1</v>
      </c>
    </row>
    <row r="15" spans="1:5" ht="15.6" x14ac:dyDescent="0.3">
      <c r="A15" s="9" t="s">
        <v>12</v>
      </c>
      <c r="B15" s="9">
        <v>68.8</v>
      </c>
      <c r="C15" s="9">
        <v>15</v>
      </c>
      <c r="D15" s="9">
        <v>10</v>
      </c>
      <c r="E15" s="9">
        <v>25</v>
      </c>
    </row>
    <row r="16" spans="1:5" ht="15.6" x14ac:dyDescent="0.3">
      <c r="A16" s="9" t="s">
        <v>125</v>
      </c>
      <c r="B16" s="9">
        <v>67.8</v>
      </c>
      <c r="C16" s="9">
        <v>16</v>
      </c>
      <c r="D16" s="9">
        <v>13</v>
      </c>
      <c r="E16" s="9">
        <v>9</v>
      </c>
    </row>
    <row r="17" spans="1:5" ht="15.6" x14ac:dyDescent="0.3">
      <c r="A17" s="9" t="s">
        <v>20</v>
      </c>
      <c r="B17" s="9">
        <v>65.599999999999994</v>
      </c>
      <c r="C17" s="9">
        <v>19</v>
      </c>
      <c r="D17" s="9">
        <v>14</v>
      </c>
      <c r="E17" s="9">
        <v>25</v>
      </c>
    </row>
    <row r="18" spans="1:5" ht="15.6" x14ac:dyDescent="0.3">
      <c r="A18" s="9" t="s">
        <v>13</v>
      </c>
      <c r="B18" s="9">
        <v>65.400000000000006</v>
      </c>
      <c r="C18" s="9">
        <v>18</v>
      </c>
      <c r="D18" s="9">
        <v>16</v>
      </c>
      <c r="E18" s="9">
        <v>4</v>
      </c>
    </row>
    <row r="19" spans="1:5" ht="15.6" x14ac:dyDescent="0.3">
      <c r="A19" s="9" t="s">
        <v>5</v>
      </c>
      <c r="B19" s="9">
        <v>64.400000000000006</v>
      </c>
      <c r="C19" s="9">
        <v>14</v>
      </c>
      <c r="D19" s="9">
        <v>18</v>
      </c>
      <c r="E19" s="9">
        <v>16</v>
      </c>
    </row>
    <row r="20" spans="1:5" ht="15.6" x14ac:dyDescent="0.3">
      <c r="A20" s="9" t="s">
        <v>23</v>
      </c>
      <c r="B20" s="9">
        <v>64.099999999999994</v>
      </c>
      <c r="C20" s="9">
        <v>13</v>
      </c>
      <c r="D20" s="9">
        <v>20</v>
      </c>
      <c r="E20" s="9">
        <v>49</v>
      </c>
    </row>
    <row r="21" spans="1:5" ht="15.6" x14ac:dyDescent="0.3">
      <c r="A21" s="9" t="s">
        <v>21</v>
      </c>
      <c r="B21" s="9">
        <v>62.4</v>
      </c>
      <c r="C21" s="9">
        <v>17</v>
      </c>
      <c r="D21" s="9">
        <v>21</v>
      </c>
      <c r="E21" s="9">
        <v>16</v>
      </c>
    </row>
    <row r="22" spans="1:5" ht="15.6" x14ac:dyDescent="0.3">
      <c r="A22" s="9" t="s">
        <v>18</v>
      </c>
      <c r="B22" s="9">
        <v>60.6</v>
      </c>
      <c r="C22" s="9">
        <v>20</v>
      </c>
      <c r="D22" s="9">
        <v>19</v>
      </c>
      <c r="E22" s="9">
        <v>1</v>
      </c>
    </row>
    <row r="23" spans="1:5" ht="15.6" x14ac:dyDescent="0.3">
      <c r="A23" s="9" t="s">
        <v>15</v>
      </c>
      <c r="B23" s="9">
        <v>59.6</v>
      </c>
      <c r="C23" s="9">
        <v>21</v>
      </c>
      <c r="D23" s="9">
        <v>17</v>
      </c>
      <c r="E23" s="9">
        <v>16</v>
      </c>
    </row>
    <row r="24" spans="1:5" ht="15.6" x14ac:dyDescent="0.3">
      <c r="A24" s="9" t="s">
        <v>4</v>
      </c>
      <c r="B24" s="9">
        <v>56</v>
      </c>
      <c r="C24" s="9">
        <v>23</v>
      </c>
      <c r="D24" s="9">
        <v>22</v>
      </c>
      <c r="E24" s="9">
        <v>1</v>
      </c>
    </row>
    <row r="25" spans="1:5" ht="15.6" x14ac:dyDescent="0.3">
      <c r="A25" s="9" t="s">
        <v>6</v>
      </c>
      <c r="B25" s="9">
        <v>52.3</v>
      </c>
      <c r="C25" s="9">
        <v>22</v>
      </c>
      <c r="D25" s="9">
        <v>26</v>
      </c>
      <c r="E25" s="9">
        <v>16</v>
      </c>
    </row>
    <row r="26" spans="1:5" ht="15.6" x14ac:dyDescent="0.3">
      <c r="A26" s="9" t="s">
        <v>1</v>
      </c>
      <c r="B26" s="9">
        <v>49.9</v>
      </c>
      <c r="C26" s="9">
        <v>24</v>
      </c>
      <c r="D26" s="9">
        <v>23</v>
      </c>
      <c r="E26" s="9">
        <v>1</v>
      </c>
    </row>
    <row r="27" spans="1:5" ht="15.6" x14ac:dyDescent="0.3">
      <c r="A27" s="9" t="s">
        <v>9</v>
      </c>
      <c r="B27" s="9">
        <v>48.8</v>
      </c>
      <c r="C27" s="9">
        <v>26</v>
      </c>
      <c r="D27" s="9">
        <v>24</v>
      </c>
      <c r="E27" s="9">
        <v>4</v>
      </c>
    </row>
    <row r="28" spans="1:5" ht="15.6" x14ac:dyDescent="0.3">
      <c r="A28" s="9" t="s">
        <v>126</v>
      </c>
      <c r="B28" s="9">
        <v>45.5</v>
      </c>
      <c r="C28" s="9">
        <v>25</v>
      </c>
      <c r="D28" s="9">
        <v>25</v>
      </c>
      <c r="E28" s="9">
        <v>0</v>
      </c>
    </row>
    <row r="29" spans="1:5" ht="15.6" x14ac:dyDescent="0.3">
      <c r="A29" s="9" t="s">
        <v>11</v>
      </c>
      <c r="B29" s="9">
        <v>45.4</v>
      </c>
      <c r="C29" s="9">
        <v>28</v>
      </c>
      <c r="D29" s="9">
        <v>28</v>
      </c>
      <c r="E29" s="9">
        <v>0</v>
      </c>
    </row>
    <row r="30" spans="1:5" ht="15.6" x14ac:dyDescent="0.3">
      <c r="A30" s="9" t="s">
        <v>10</v>
      </c>
      <c r="B30" s="9">
        <v>42.3</v>
      </c>
      <c r="C30" s="9">
        <v>27</v>
      </c>
      <c r="D30" s="9">
        <v>27</v>
      </c>
      <c r="E30" s="9">
        <v>0</v>
      </c>
    </row>
    <row r="31" spans="1:5" ht="15.6" x14ac:dyDescent="0.3">
      <c r="A31" s="9" t="s">
        <v>8</v>
      </c>
      <c r="B31" s="9">
        <v>34.1</v>
      </c>
      <c r="C31" s="9">
        <v>29</v>
      </c>
      <c r="D31" s="9">
        <v>29</v>
      </c>
      <c r="E31" s="9">
        <v>0</v>
      </c>
    </row>
    <row r="33" spans="1:5" ht="15.6" x14ac:dyDescent="0.3">
      <c r="A33" s="16" t="s">
        <v>185</v>
      </c>
      <c r="B33" s="16"/>
      <c r="C33" s="16"/>
      <c r="D33" s="16"/>
      <c r="E33" s="16">
        <f>SUM(E2:E31)</f>
        <v>346</v>
      </c>
    </row>
    <row r="34" spans="1:5" ht="15.6" x14ac:dyDescent="0.3">
      <c r="A34" s="16" t="s">
        <v>131</v>
      </c>
      <c r="B34" s="16"/>
      <c r="C34" s="16"/>
      <c r="D34" s="16"/>
      <c r="E34" s="16">
        <v>30</v>
      </c>
    </row>
    <row r="35" spans="1:5" ht="15.6" x14ac:dyDescent="0.3">
      <c r="A35" s="16" t="s">
        <v>186</v>
      </c>
      <c r="B35" s="16"/>
      <c r="C35" s="16"/>
      <c r="D35" s="16"/>
      <c r="E35" s="16">
        <f xml:space="preserve"> 1 - (6*E33)/(E34*(E34*E34-1))</f>
        <v>0.92302558398220247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82FF6-2615-4255-AF2A-A813697DBC42}">
  <dimension ref="A1:AB38"/>
  <sheetViews>
    <sheetView topLeftCell="A12" workbookViewId="0">
      <selection activeCell="A36" sqref="A36"/>
    </sheetView>
  </sheetViews>
  <sheetFormatPr defaultRowHeight="14.4" x14ac:dyDescent="0.3"/>
  <cols>
    <col min="1" max="1" width="37.109375" bestFit="1" customWidth="1"/>
    <col min="2" max="2" width="13.33203125" bestFit="1" customWidth="1"/>
    <col min="3" max="3" width="13.6640625" bestFit="1" customWidth="1"/>
    <col min="4" max="7" width="13.33203125" bestFit="1" customWidth="1"/>
    <col min="8" max="8" width="13.44140625" bestFit="1" customWidth="1"/>
    <col min="9" max="10" width="13.33203125" bestFit="1" customWidth="1"/>
    <col min="11" max="11" width="13.6640625" bestFit="1" customWidth="1"/>
    <col min="12" max="12" width="9.88671875" bestFit="1" customWidth="1"/>
    <col min="13" max="13" width="13.33203125" bestFit="1" customWidth="1"/>
    <col min="14" max="14" width="14.77734375" bestFit="1" customWidth="1"/>
    <col min="15" max="15" width="13.33203125" bestFit="1" customWidth="1"/>
    <col min="16" max="16" width="13.44140625" bestFit="1" customWidth="1"/>
    <col min="17" max="18" width="13.33203125" bestFit="1" customWidth="1"/>
    <col min="19" max="19" width="14.5546875" bestFit="1" customWidth="1"/>
    <col min="20" max="21" width="13.33203125" bestFit="1" customWidth="1"/>
    <col min="22" max="22" width="14.77734375" bestFit="1" customWidth="1"/>
    <col min="23" max="23" width="13.33203125" bestFit="1" customWidth="1"/>
    <col min="24" max="24" width="8.21875" bestFit="1" customWidth="1"/>
    <col min="25" max="25" width="9.33203125" bestFit="1" customWidth="1"/>
    <col min="26" max="26" width="7.6640625" bestFit="1" customWidth="1"/>
    <col min="28" max="28" width="18" customWidth="1"/>
  </cols>
  <sheetData>
    <row r="1" spans="1:28" ht="15.6" x14ac:dyDescent="0.3">
      <c r="A1" s="9" t="s">
        <v>60</v>
      </c>
      <c r="B1" s="9" t="s">
        <v>132</v>
      </c>
      <c r="C1" s="9" t="s">
        <v>133</v>
      </c>
      <c r="D1" s="9" t="s">
        <v>134</v>
      </c>
      <c r="E1" s="9" t="s">
        <v>135</v>
      </c>
      <c r="F1" s="9" t="s">
        <v>136</v>
      </c>
      <c r="G1" s="9" t="s">
        <v>137</v>
      </c>
      <c r="H1" s="9" t="s">
        <v>138</v>
      </c>
      <c r="I1" s="9" t="s">
        <v>139</v>
      </c>
      <c r="J1" s="9" t="s">
        <v>140</v>
      </c>
      <c r="K1" s="9" t="s">
        <v>141</v>
      </c>
      <c r="L1" t="s">
        <v>418</v>
      </c>
      <c r="M1" s="9" t="s">
        <v>154</v>
      </c>
      <c r="N1" s="9" t="s">
        <v>155</v>
      </c>
      <c r="O1" s="9" t="s">
        <v>156</v>
      </c>
      <c r="P1" s="9" t="s">
        <v>157</v>
      </c>
      <c r="Q1" s="9" t="s">
        <v>158</v>
      </c>
      <c r="R1" s="9" t="s">
        <v>159</v>
      </c>
      <c r="S1" s="9" t="s">
        <v>160</v>
      </c>
      <c r="T1" s="9" t="s">
        <v>161</v>
      </c>
      <c r="U1" s="9" t="s">
        <v>162</v>
      </c>
      <c r="V1" s="9" t="s">
        <v>163</v>
      </c>
      <c r="W1" t="s">
        <v>419</v>
      </c>
      <c r="X1" s="9" t="s">
        <v>146</v>
      </c>
      <c r="Y1" s="9" t="s">
        <v>171</v>
      </c>
      <c r="Z1" s="9" t="s">
        <v>180</v>
      </c>
      <c r="AB1" s="16" t="s">
        <v>420</v>
      </c>
    </row>
    <row r="2" spans="1:28" ht="15.6" x14ac:dyDescent="0.3">
      <c r="A2" s="9" t="s">
        <v>24</v>
      </c>
      <c r="B2" s="9">
        <v>8</v>
      </c>
      <c r="C2" s="9">
        <v>10</v>
      </c>
      <c r="D2" s="9">
        <v>8</v>
      </c>
      <c r="E2" s="9">
        <v>8.5</v>
      </c>
      <c r="F2" s="9">
        <v>9</v>
      </c>
      <c r="G2" s="9">
        <v>9</v>
      </c>
      <c r="H2" s="9">
        <v>10</v>
      </c>
      <c r="I2" s="9">
        <v>10</v>
      </c>
      <c r="J2" s="9">
        <v>10</v>
      </c>
      <c r="K2" s="9">
        <v>10</v>
      </c>
      <c r="L2">
        <v>92.5</v>
      </c>
      <c r="M2" s="9">
        <v>8</v>
      </c>
      <c r="N2" s="9">
        <v>9</v>
      </c>
      <c r="O2" s="9">
        <v>8</v>
      </c>
      <c r="P2" s="9">
        <v>8.5</v>
      </c>
      <c r="Q2" s="9">
        <v>8</v>
      </c>
      <c r="R2" s="9">
        <v>9</v>
      </c>
      <c r="S2" s="9">
        <v>10</v>
      </c>
      <c r="T2" s="9">
        <v>10</v>
      </c>
      <c r="U2" s="9">
        <v>10</v>
      </c>
      <c r="V2" s="9">
        <v>9</v>
      </c>
      <c r="W2">
        <v>89.5</v>
      </c>
      <c r="X2" s="9">
        <v>88.5</v>
      </c>
      <c r="Y2" s="9">
        <v>87.3</v>
      </c>
      <c r="Z2" s="9">
        <v>87.9</v>
      </c>
      <c r="AB2" s="9">
        <f>2*ABS(X2-Y2)/(X2+Y2)</f>
        <v>1.3651877133105833E-2</v>
      </c>
    </row>
    <row r="3" spans="1:28" ht="15.6" x14ac:dyDescent="0.3">
      <c r="A3" s="9" t="s">
        <v>2</v>
      </c>
      <c r="B3" s="9">
        <v>9</v>
      </c>
      <c r="C3" s="9">
        <v>9</v>
      </c>
      <c r="D3" s="9">
        <v>9</v>
      </c>
      <c r="E3" s="9">
        <v>9</v>
      </c>
      <c r="F3" s="9">
        <v>8</v>
      </c>
      <c r="G3" s="9">
        <v>8</v>
      </c>
      <c r="H3" s="9">
        <v>8</v>
      </c>
      <c r="I3" s="9">
        <v>9</v>
      </c>
      <c r="J3" s="9">
        <v>9</v>
      </c>
      <c r="K3" s="9">
        <v>8</v>
      </c>
      <c r="L3">
        <v>86</v>
      </c>
      <c r="M3" s="9">
        <v>9</v>
      </c>
      <c r="N3" s="9">
        <v>8</v>
      </c>
      <c r="O3" s="9">
        <v>9</v>
      </c>
      <c r="P3" s="9">
        <v>9</v>
      </c>
      <c r="Q3" s="9">
        <v>9</v>
      </c>
      <c r="R3" s="9">
        <v>8</v>
      </c>
      <c r="S3" s="9">
        <v>8</v>
      </c>
      <c r="T3" s="9">
        <v>10</v>
      </c>
      <c r="U3" s="9">
        <v>9</v>
      </c>
      <c r="V3" s="9">
        <v>7</v>
      </c>
      <c r="W3">
        <v>86</v>
      </c>
      <c r="X3" s="9">
        <v>85.4</v>
      </c>
      <c r="Y3" s="9">
        <v>85.4</v>
      </c>
      <c r="Z3" s="9">
        <v>85.4</v>
      </c>
      <c r="AB3" s="9">
        <f t="shared" ref="AB3:AB31" si="0">2*ABS(X3-Y3)/(X3+Y3)</f>
        <v>0</v>
      </c>
    </row>
    <row r="4" spans="1:28" ht="15.6" x14ac:dyDescent="0.3">
      <c r="A4" s="9" t="s">
        <v>17</v>
      </c>
      <c r="B4" s="9">
        <v>9</v>
      </c>
      <c r="C4" s="9">
        <v>10</v>
      </c>
      <c r="D4" s="9">
        <v>9</v>
      </c>
      <c r="E4" s="9">
        <v>9</v>
      </c>
      <c r="F4" s="9">
        <v>8</v>
      </c>
      <c r="G4" s="9">
        <v>8</v>
      </c>
      <c r="H4" s="9">
        <v>8</v>
      </c>
      <c r="I4" s="9">
        <v>8</v>
      </c>
      <c r="J4" s="9">
        <v>9</v>
      </c>
      <c r="K4" s="9">
        <v>8</v>
      </c>
      <c r="L4">
        <v>86</v>
      </c>
      <c r="M4" s="9">
        <v>8</v>
      </c>
      <c r="N4" s="9">
        <v>10</v>
      </c>
      <c r="O4" s="9">
        <v>8</v>
      </c>
      <c r="P4" s="9">
        <v>9</v>
      </c>
      <c r="Q4" s="9">
        <v>8</v>
      </c>
      <c r="R4" s="9">
        <v>8</v>
      </c>
      <c r="S4" s="9">
        <v>9</v>
      </c>
      <c r="T4" s="9">
        <v>9</v>
      </c>
      <c r="U4" s="9">
        <v>9</v>
      </c>
      <c r="V4" s="9">
        <v>8</v>
      </c>
      <c r="W4">
        <v>86</v>
      </c>
      <c r="X4" s="9">
        <v>85.4</v>
      </c>
      <c r="Y4" s="9">
        <v>82.9</v>
      </c>
      <c r="Z4" s="9">
        <v>84.2</v>
      </c>
      <c r="AB4" s="9">
        <f t="shared" si="0"/>
        <v>2.9708853238265002E-2</v>
      </c>
    </row>
    <row r="5" spans="1:28" ht="15.6" x14ac:dyDescent="0.3">
      <c r="A5" s="9" t="s">
        <v>16</v>
      </c>
      <c r="B5" s="9">
        <v>10</v>
      </c>
      <c r="C5" s="9">
        <v>9</v>
      </c>
      <c r="D5" s="9">
        <v>9</v>
      </c>
      <c r="E5" s="9">
        <v>8.5</v>
      </c>
      <c r="F5" s="9">
        <v>9</v>
      </c>
      <c r="G5" s="9">
        <v>6</v>
      </c>
      <c r="H5" s="9">
        <v>10</v>
      </c>
      <c r="I5" s="9">
        <v>8</v>
      </c>
      <c r="J5" s="9">
        <v>7</v>
      </c>
      <c r="K5" s="9">
        <v>8</v>
      </c>
      <c r="L5">
        <v>84.5</v>
      </c>
      <c r="M5" s="9">
        <v>10</v>
      </c>
      <c r="N5" s="9">
        <v>9</v>
      </c>
      <c r="O5" s="9">
        <v>9</v>
      </c>
      <c r="P5" s="9">
        <v>8.5</v>
      </c>
      <c r="Q5" s="9">
        <v>9</v>
      </c>
      <c r="R5" s="9">
        <v>7</v>
      </c>
      <c r="S5" s="9">
        <v>9</v>
      </c>
      <c r="T5" s="9">
        <v>9</v>
      </c>
      <c r="U5" s="9">
        <v>8</v>
      </c>
      <c r="V5" s="9">
        <v>8</v>
      </c>
      <c r="W5">
        <v>86.5</v>
      </c>
      <c r="X5" s="9">
        <v>81</v>
      </c>
      <c r="Y5" s="9">
        <v>84</v>
      </c>
      <c r="Z5" s="9">
        <v>82.5</v>
      </c>
      <c r="AB5" s="9">
        <f t="shared" si="0"/>
        <v>3.6363636363636362E-2</v>
      </c>
    </row>
    <row r="6" spans="1:28" ht="15.6" x14ac:dyDescent="0.3">
      <c r="A6" s="9" t="s">
        <v>124</v>
      </c>
      <c r="B6" s="9">
        <v>7</v>
      </c>
      <c r="C6" s="9">
        <v>9</v>
      </c>
      <c r="D6" s="9">
        <v>7</v>
      </c>
      <c r="E6" s="9">
        <v>7.5</v>
      </c>
      <c r="F6" s="9">
        <v>8</v>
      </c>
      <c r="G6" s="9">
        <v>8</v>
      </c>
      <c r="H6" s="9">
        <v>8</v>
      </c>
      <c r="I6" s="9">
        <v>9</v>
      </c>
      <c r="J6" s="9">
        <v>9</v>
      </c>
      <c r="K6" s="9">
        <v>10</v>
      </c>
      <c r="L6">
        <v>82.5</v>
      </c>
      <c r="M6" s="9">
        <v>7</v>
      </c>
      <c r="N6" s="9">
        <v>9</v>
      </c>
      <c r="O6" s="9">
        <v>7</v>
      </c>
      <c r="P6" s="9">
        <v>8</v>
      </c>
      <c r="Q6" s="9">
        <v>7</v>
      </c>
      <c r="R6" s="9">
        <v>8</v>
      </c>
      <c r="S6" s="9">
        <v>8</v>
      </c>
      <c r="T6" s="9">
        <v>9</v>
      </c>
      <c r="U6" s="9">
        <v>8</v>
      </c>
      <c r="V6" s="9">
        <v>10</v>
      </c>
      <c r="W6">
        <v>81</v>
      </c>
      <c r="X6" s="9">
        <v>78.099999999999994</v>
      </c>
      <c r="Y6" s="9">
        <v>77.5</v>
      </c>
      <c r="Z6" s="9">
        <v>77.8</v>
      </c>
      <c r="AB6" s="9">
        <f t="shared" si="0"/>
        <v>7.7120822622107239E-3</v>
      </c>
    </row>
    <row r="7" spans="1:28" ht="15.6" x14ac:dyDescent="0.3">
      <c r="A7" s="9" t="s">
        <v>19</v>
      </c>
      <c r="B7" s="9">
        <v>10</v>
      </c>
      <c r="C7" s="9">
        <v>8</v>
      </c>
      <c r="D7" s="9">
        <v>8</v>
      </c>
      <c r="E7" s="9">
        <v>8</v>
      </c>
      <c r="F7" s="9">
        <v>8</v>
      </c>
      <c r="G7" s="9">
        <v>7</v>
      </c>
      <c r="H7" s="9">
        <v>8</v>
      </c>
      <c r="I7" s="9">
        <v>9</v>
      </c>
      <c r="J7" s="9">
        <v>7</v>
      </c>
      <c r="K7" s="9">
        <v>8</v>
      </c>
      <c r="L7">
        <v>81</v>
      </c>
      <c r="M7" s="9">
        <v>9</v>
      </c>
      <c r="N7" s="9">
        <v>8</v>
      </c>
      <c r="O7" s="9">
        <v>8</v>
      </c>
      <c r="P7" s="9">
        <v>8</v>
      </c>
      <c r="Q7" s="9">
        <v>8</v>
      </c>
      <c r="R7" s="9">
        <v>5</v>
      </c>
      <c r="S7" s="9">
        <v>8</v>
      </c>
      <c r="T7" s="9">
        <v>9</v>
      </c>
      <c r="U7" s="9">
        <v>7</v>
      </c>
      <c r="V7" s="9">
        <v>8</v>
      </c>
      <c r="W7">
        <v>78</v>
      </c>
      <c r="X7" s="9">
        <v>78.8</v>
      </c>
      <c r="Y7" s="9">
        <v>72.099999999999994</v>
      </c>
      <c r="Z7" s="9">
        <v>75.400000000000006</v>
      </c>
      <c r="AB7" s="9">
        <f t="shared" si="0"/>
        <v>8.8800530152418872E-2</v>
      </c>
    </row>
    <row r="8" spans="1:28" ht="15.6" x14ac:dyDescent="0.3">
      <c r="A8" s="9" t="s">
        <v>22</v>
      </c>
      <c r="B8" s="9">
        <v>9</v>
      </c>
      <c r="C8" s="9">
        <v>9</v>
      </c>
      <c r="D8" s="9">
        <v>6</v>
      </c>
      <c r="E8" s="9">
        <v>9</v>
      </c>
      <c r="F8" s="9">
        <v>9</v>
      </c>
      <c r="G8" s="9">
        <v>8</v>
      </c>
      <c r="H8" s="9">
        <v>10</v>
      </c>
      <c r="I8" s="9">
        <v>9</v>
      </c>
      <c r="J8" s="9">
        <v>7</v>
      </c>
      <c r="K8" s="9">
        <v>8</v>
      </c>
      <c r="L8">
        <v>84</v>
      </c>
      <c r="M8" s="9">
        <v>9</v>
      </c>
      <c r="N8" s="9">
        <v>9</v>
      </c>
      <c r="O8" s="9">
        <v>6</v>
      </c>
      <c r="P8" s="9">
        <v>9</v>
      </c>
      <c r="Q8" s="9">
        <v>9</v>
      </c>
      <c r="R8" s="9">
        <v>5</v>
      </c>
      <c r="S8" s="9">
        <v>10</v>
      </c>
      <c r="T8" s="9">
        <v>9</v>
      </c>
      <c r="U8" s="9">
        <v>6</v>
      </c>
      <c r="V8" s="9">
        <v>10</v>
      </c>
      <c r="W8">
        <v>82</v>
      </c>
      <c r="X8" s="9">
        <v>77.900000000000006</v>
      </c>
      <c r="Y8" s="9">
        <v>69.599999999999994</v>
      </c>
      <c r="Z8" s="9">
        <v>73.8</v>
      </c>
      <c r="AB8" s="9">
        <f t="shared" si="0"/>
        <v>0.11254237288135609</v>
      </c>
    </row>
    <row r="9" spans="1:28" ht="15.6" x14ac:dyDescent="0.3">
      <c r="A9" s="9" t="s">
        <v>7</v>
      </c>
      <c r="B9" s="9">
        <v>10</v>
      </c>
      <c r="C9" s="9">
        <v>7</v>
      </c>
      <c r="D9" s="9">
        <v>8</v>
      </c>
      <c r="E9" s="9">
        <v>7.5</v>
      </c>
      <c r="F9" s="9">
        <v>7</v>
      </c>
      <c r="G9" s="9">
        <v>7</v>
      </c>
      <c r="H9" s="9">
        <v>8</v>
      </c>
      <c r="I9" s="9">
        <v>8</v>
      </c>
      <c r="J9" s="9">
        <v>7</v>
      </c>
      <c r="K9" s="9">
        <v>5</v>
      </c>
      <c r="L9">
        <v>74.5</v>
      </c>
      <c r="M9" s="9">
        <v>9</v>
      </c>
      <c r="N9" s="9">
        <v>8</v>
      </c>
      <c r="O9" s="9">
        <v>8</v>
      </c>
      <c r="P9" s="9">
        <v>7</v>
      </c>
      <c r="Q9" s="9">
        <v>7</v>
      </c>
      <c r="R9" s="9">
        <v>6</v>
      </c>
      <c r="S9" s="9">
        <v>7</v>
      </c>
      <c r="T9" s="9">
        <v>8</v>
      </c>
      <c r="U9" s="9">
        <v>8</v>
      </c>
      <c r="V9" s="9">
        <v>7</v>
      </c>
      <c r="W9">
        <v>75</v>
      </c>
      <c r="X9" s="9">
        <v>73.5</v>
      </c>
      <c r="Y9" s="9">
        <v>72.900000000000006</v>
      </c>
      <c r="Z9" s="9">
        <v>73.5</v>
      </c>
      <c r="AB9" s="9">
        <f t="shared" si="0"/>
        <v>8.1967213114753322E-3</v>
      </c>
    </row>
    <row r="10" spans="1:28" ht="15.6" x14ac:dyDescent="0.3">
      <c r="A10" s="9" t="s">
        <v>14</v>
      </c>
      <c r="B10" s="9">
        <v>10</v>
      </c>
      <c r="C10" s="9">
        <v>8</v>
      </c>
      <c r="D10" s="9">
        <v>8</v>
      </c>
      <c r="E10" s="9">
        <v>7.5</v>
      </c>
      <c r="F10" s="9">
        <v>9</v>
      </c>
      <c r="G10" s="9">
        <v>7</v>
      </c>
      <c r="H10" s="9">
        <v>5</v>
      </c>
      <c r="I10" s="9">
        <v>6</v>
      </c>
      <c r="J10" s="9">
        <v>6</v>
      </c>
      <c r="K10" s="9">
        <v>8</v>
      </c>
      <c r="L10">
        <v>74.5</v>
      </c>
      <c r="M10" s="9">
        <v>10</v>
      </c>
      <c r="N10" s="9">
        <v>7</v>
      </c>
      <c r="O10" s="9">
        <v>8</v>
      </c>
      <c r="P10" s="9">
        <v>8</v>
      </c>
      <c r="Q10" s="9">
        <v>9</v>
      </c>
      <c r="R10" s="9">
        <v>5</v>
      </c>
      <c r="S10" s="9">
        <v>8</v>
      </c>
      <c r="T10" s="9">
        <v>7</v>
      </c>
      <c r="U10" s="9">
        <v>6</v>
      </c>
      <c r="V10" s="9">
        <v>8</v>
      </c>
      <c r="W10">
        <v>76</v>
      </c>
      <c r="X10" s="9">
        <v>72.3</v>
      </c>
      <c r="Y10" s="9">
        <v>71.7</v>
      </c>
      <c r="Z10" s="9">
        <v>73.2</v>
      </c>
      <c r="AB10" s="9">
        <f t="shared" si="0"/>
        <v>8.3333333333332552E-3</v>
      </c>
    </row>
    <row r="11" spans="1:28" ht="15.6" x14ac:dyDescent="0.3">
      <c r="A11" s="9" t="s">
        <v>128</v>
      </c>
      <c r="B11" s="9">
        <v>10</v>
      </c>
      <c r="C11" s="9">
        <v>9</v>
      </c>
      <c r="D11" s="9">
        <v>8</v>
      </c>
      <c r="E11" s="9">
        <v>8.5</v>
      </c>
      <c r="F11" s="9">
        <v>9</v>
      </c>
      <c r="G11" s="9">
        <v>7</v>
      </c>
      <c r="H11" s="9">
        <v>5</v>
      </c>
      <c r="I11" s="9">
        <v>6</v>
      </c>
      <c r="J11" s="9">
        <v>8</v>
      </c>
      <c r="K11" s="9">
        <v>5</v>
      </c>
      <c r="L11">
        <v>75.5</v>
      </c>
      <c r="M11" s="9">
        <v>9</v>
      </c>
      <c r="N11" s="9">
        <v>9</v>
      </c>
      <c r="O11" s="9">
        <v>8</v>
      </c>
      <c r="P11" s="9">
        <v>7</v>
      </c>
      <c r="Q11" s="9">
        <v>9</v>
      </c>
      <c r="R11" s="9">
        <v>8</v>
      </c>
      <c r="S11" s="9">
        <v>5</v>
      </c>
      <c r="T11" s="9">
        <v>8</v>
      </c>
      <c r="U11" s="9">
        <v>8</v>
      </c>
      <c r="V11" s="9">
        <v>5</v>
      </c>
      <c r="W11">
        <v>76</v>
      </c>
      <c r="X11" s="9">
        <v>71.5</v>
      </c>
      <c r="Y11" s="9">
        <v>72.5</v>
      </c>
      <c r="Z11" s="9">
        <v>72.599999999999994</v>
      </c>
      <c r="AB11" s="9">
        <f t="shared" si="0"/>
        <v>1.3888888888888888E-2</v>
      </c>
    </row>
    <row r="12" spans="1:28" ht="15.6" x14ac:dyDescent="0.3">
      <c r="A12" s="9" t="s">
        <v>123</v>
      </c>
      <c r="B12" s="9">
        <v>10</v>
      </c>
      <c r="C12" s="9">
        <v>9</v>
      </c>
      <c r="D12" s="9">
        <v>6</v>
      </c>
      <c r="E12" s="9">
        <v>8</v>
      </c>
      <c r="F12" s="9">
        <v>8</v>
      </c>
      <c r="G12" s="9">
        <v>8</v>
      </c>
      <c r="H12" s="9">
        <v>10</v>
      </c>
      <c r="I12" s="9">
        <v>7</v>
      </c>
      <c r="J12" s="9">
        <v>7</v>
      </c>
      <c r="K12" s="9">
        <v>8</v>
      </c>
      <c r="L12">
        <v>81</v>
      </c>
      <c r="M12" s="9">
        <v>10</v>
      </c>
      <c r="N12" s="9">
        <v>9</v>
      </c>
      <c r="O12" s="9">
        <v>7</v>
      </c>
      <c r="P12" s="9">
        <v>9</v>
      </c>
      <c r="Q12" s="9">
        <v>9</v>
      </c>
      <c r="R12" s="9">
        <v>3</v>
      </c>
      <c r="S12" s="9">
        <v>9</v>
      </c>
      <c r="T12" s="9">
        <v>8</v>
      </c>
      <c r="U12" s="9">
        <v>5</v>
      </c>
      <c r="V12" s="9">
        <v>10</v>
      </c>
      <c r="W12">
        <v>79</v>
      </c>
      <c r="X12" s="9">
        <v>77.099999999999994</v>
      </c>
      <c r="Y12" s="9">
        <v>65.8</v>
      </c>
      <c r="Z12" s="9">
        <v>71.5</v>
      </c>
      <c r="AB12" s="9">
        <f t="shared" si="0"/>
        <v>0.15815255423372987</v>
      </c>
    </row>
    <row r="13" spans="1:28" ht="15.6" x14ac:dyDescent="0.3">
      <c r="A13" s="9" t="s">
        <v>0</v>
      </c>
      <c r="B13" s="9">
        <v>8</v>
      </c>
      <c r="C13" s="9">
        <v>8</v>
      </c>
      <c r="D13" s="9">
        <v>9</v>
      </c>
      <c r="E13" s="9">
        <v>7</v>
      </c>
      <c r="F13" s="9">
        <v>8</v>
      </c>
      <c r="G13" s="9">
        <v>6</v>
      </c>
      <c r="H13" s="9">
        <v>7</v>
      </c>
      <c r="I13" s="9">
        <v>8</v>
      </c>
      <c r="J13" s="9">
        <v>8</v>
      </c>
      <c r="K13" s="9">
        <v>7</v>
      </c>
      <c r="L13">
        <v>76</v>
      </c>
      <c r="M13" s="9">
        <v>8</v>
      </c>
      <c r="N13" s="9">
        <v>8</v>
      </c>
      <c r="O13" s="9">
        <v>8</v>
      </c>
      <c r="P13" s="9">
        <v>6</v>
      </c>
      <c r="Q13" s="9">
        <v>7</v>
      </c>
      <c r="R13" s="9">
        <v>5</v>
      </c>
      <c r="S13" s="9">
        <v>7</v>
      </c>
      <c r="T13" s="9">
        <v>8</v>
      </c>
      <c r="U13" s="9">
        <v>7</v>
      </c>
      <c r="V13" s="9">
        <v>7</v>
      </c>
      <c r="W13">
        <v>71</v>
      </c>
      <c r="X13" s="9">
        <v>74.2</v>
      </c>
      <c r="Y13" s="9">
        <v>68.3</v>
      </c>
      <c r="Z13" s="9">
        <v>71.3</v>
      </c>
      <c r="AB13" s="9">
        <f t="shared" si="0"/>
        <v>8.2807017543859732E-2</v>
      </c>
    </row>
    <row r="14" spans="1:28" ht="15.6" x14ac:dyDescent="0.3">
      <c r="A14" s="9" t="s">
        <v>3</v>
      </c>
      <c r="B14" s="9">
        <v>10</v>
      </c>
      <c r="C14" s="9">
        <v>8</v>
      </c>
      <c r="D14" s="9">
        <v>7</v>
      </c>
      <c r="E14" s="9">
        <v>7.5</v>
      </c>
      <c r="F14" s="9">
        <v>7</v>
      </c>
      <c r="G14" s="9">
        <v>6</v>
      </c>
      <c r="H14" s="9">
        <v>8</v>
      </c>
      <c r="I14" s="9">
        <v>8</v>
      </c>
      <c r="J14" s="9">
        <v>8</v>
      </c>
      <c r="K14" s="9">
        <v>8</v>
      </c>
      <c r="L14">
        <v>77.5</v>
      </c>
      <c r="M14" s="9">
        <v>10</v>
      </c>
      <c r="N14" s="9">
        <v>8</v>
      </c>
      <c r="O14" s="9">
        <v>7</v>
      </c>
      <c r="P14" s="9">
        <v>6</v>
      </c>
      <c r="Q14" s="9">
        <v>7</v>
      </c>
      <c r="R14" s="9">
        <v>5</v>
      </c>
      <c r="S14" s="9">
        <v>8</v>
      </c>
      <c r="T14" s="9">
        <v>8</v>
      </c>
      <c r="U14" s="9">
        <v>8</v>
      </c>
      <c r="V14" s="9">
        <v>8</v>
      </c>
      <c r="W14">
        <v>75</v>
      </c>
      <c r="X14" s="9">
        <v>72.3</v>
      </c>
      <c r="Y14" s="9">
        <v>68.8</v>
      </c>
      <c r="Z14" s="9">
        <v>70.5</v>
      </c>
      <c r="AB14" s="9">
        <f t="shared" si="0"/>
        <v>4.9610205527994333E-2</v>
      </c>
    </row>
    <row r="15" spans="1:28" ht="15.6" x14ac:dyDescent="0.3">
      <c r="A15" s="9" t="s">
        <v>12</v>
      </c>
      <c r="B15" s="9">
        <v>10</v>
      </c>
      <c r="C15" s="9">
        <v>8</v>
      </c>
      <c r="D15" s="9">
        <v>8</v>
      </c>
      <c r="E15" s="9">
        <v>8</v>
      </c>
      <c r="F15" s="9">
        <v>7</v>
      </c>
      <c r="G15" s="9">
        <v>7</v>
      </c>
      <c r="H15" s="9">
        <v>5</v>
      </c>
      <c r="I15" s="9">
        <v>7</v>
      </c>
      <c r="J15" s="9">
        <v>6</v>
      </c>
      <c r="K15" s="9">
        <v>5</v>
      </c>
      <c r="L15">
        <v>71</v>
      </c>
      <c r="M15" s="9">
        <v>9</v>
      </c>
      <c r="N15" s="9">
        <v>8</v>
      </c>
      <c r="O15" s="9">
        <v>8</v>
      </c>
      <c r="P15" s="9">
        <v>7</v>
      </c>
      <c r="Q15" s="9">
        <v>7</v>
      </c>
      <c r="R15" s="9">
        <v>8</v>
      </c>
      <c r="S15" s="9">
        <v>5</v>
      </c>
      <c r="T15" s="9">
        <v>7</v>
      </c>
      <c r="U15" s="9">
        <v>7</v>
      </c>
      <c r="V15" s="9">
        <v>5</v>
      </c>
      <c r="W15">
        <v>71</v>
      </c>
      <c r="X15" s="9">
        <v>68.3</v>
      </c>
      <c r="Y15" s="9">
        <v>69.2</v>
      </c>
      <c r="Z15" s="9">
        <v>68.8</v>
      </c>
      <c r="AB15" s="9">
        <f t="shared" si="0"/>
        <v>1.3090909090909174E-2</v>
      </c>
    </row>
    <row r="16" spans="1:28" ht="15.6" x14ac:dyDescent="0.3">
      <c r="A16" s="9" t="s">
        <v>125</v>
      </c>
      <c r="B16" s="9">
        <v>10</v>
      </c>
      <c r="C16" s="9">
        <v>7</v>
      </c>
      <c r="D16" s="9">
        <v>8</v>
      </c>
      <c r="E16" s="9">
        <v>7.5</v>
      </c>
      <c r="F16" s="9">
        <v>8</v>
      </c>
      <c r="G16" s="9">
        <v>6</v>
      </c>
      <c r="H16" s="9">
        <v>5</v>
      </c>
      <c r="I16" s="9">
        <v>8</v>
      </c>
      <c r="J16" s="9">
        <v>5</v>
      </c>
      <c r="K16" s="9">
        <v>5</v>
      </c>
      <c r="L16">
        <v>69.5</v>
      </c>
      <c r="M16" s="9">
        <v>9</v>
      </c>
      <c r="N16" s="9">
        <v>7</v>
      </c>
      <c r="O16" s="9">
        <v>9</v>
      </c>
      <c r="P16" s="9">
        <v>7</v>
      </c>
      <c r="Q16" s="9">
        <v>8</v>
      </c>
      <c r="R16" s="9">
        <v>5</v>
      </c>
      <c r="S16" s="9">
        <v>5</v>
      </c>
      <c r="T16" s="9">
        <v>8</v>
      </c>
      <c r="U16" s="9">
        <v>5</v>
      </c>
      <c r="V16" s="9">
        <v>5</v>
      </c>
      <c r="W16">
        <v>68</v>
      </c>
      <c r="X16" s="9">
        <v>67.7</v>
      </c>
      <c r="Y16" s="9">
        <v>67.900000000000006</v>
      </c>
      <c r="Z16" s="9">
        <v>67.8</v>
      </c>
      <c r="AB16" s="9">
        <f t="shared" si="0"/>
        <v>2.9498525073746729E-3</v>
      </c>
    </row>
    <row r="17" spans="1:28" ht="15.6" x14ac:dyDescent="0.3">
      <c r="A17" s="9" t="s">
        <v>20</v>
      </c>
      <c r="B17" s="9">
        <v>9</v>
      </c>
      <c r="C17" s="9">
        <v>7</v>
      </c>
      <c r="D17" s="9">
        <v>7</v>
      </c>
      <c r="E17" s="9">
        <v>7</v>
      </c>
      <c r="F17" s="9">
        <v>6</v>
      </c>
      <c r="G17" s="9">
        <v>8</v>
      </c>
      <c r="H17" s="9">
        <v>5</v>
      </c>
      <c r="I17" s="9">
        <v>7</v>
      </c>
      <c r="J17" s="9">
        <v>6</v>
      </c>
      <c r="K17" s="9">
        <v>5</v>
      </c>
      <c r="L17">
        <v>67</v>
      </c>
      <c r="M17" s="9">
        <v>8</v>
      </c>
      <c r="N17" s="9">
        <v>8</v>
      </c>
      <c r="O17" s="9">
        <v>7</v>
      </c>
      <c r="P17" s="9">
        <v>8</v>
      </c>
      <c r="Q17" s="9">
        <v>7</v>
      </c>
      <c r="R17" s="9">
        <v>8</v>
      </c>
      <c r="S17" s="9">
        <v>6</v>
      </c>
      <c r="T17" s="9">
        <v>7</v>
      </c>
      <c r="U17" s="9">
        <v>6</v>
      </c>
      <c r="V17" s="9">
        <v>5</v>
      </c>
      <c r="W17">
        <v>70</v>
      </c>
      <c r="X17" s="9">
        <v>65</v>
      </c>
      <c r="Y17" s="9">
        <v>66.3</v>
      </c>
      <c r="Z17" s="9">
        <v>65.599999999999994</v>
      </c>
      <c r="AB17" s="9">
        <f t="shared" si="0"/>
        <v>1.9801980198019757E-2</v>
      </c>
    </row>
    <row r="18" spans="1:28" ht="15.6" x14ac:dyDescent="0.3">
      <c r="A18" s="9" t="s">
        <v>13</v>
      </c>
      <c r="B18" s="9">
        <v>5</v>
      </c>
      <c r="C18" s="9">
        <v>5</v>
      </c>
      <c r="D18" s="9">
        <v>6</v>
      </c>
      <c r="E18" s="9">
        <v>7</v>
      </c>
      <c r="F18" s="9">
        <v>7</v>
      </c>
      <c r="G18" s="9">
        <v>7</v>
      </c>
      <c r="H18" s="9">
        <v>8</v>
      </c>
      <c r="I18" s="9">
        <v>9</v>
      </c>
      <c r="J18" s="9">
        <v>7</v>
      </c>
      <c r="K18" s="9">
        <v>8</v>
      </c>
      <c r="L18">
        <v>69</v>
      </c>
      <c r="M18" s="9">
        <v>8</v>
      </c>
      <c r="N18" s="9">
        <v>5</v>
      </c>
      <c r="O18" s="9">
        <v>6</v>
      </c>
      <c r="P18" s="9">
        <v>7</v>
      </c>
      <c r="Q18" s="9">
        <v>7</v>
      </c>
      <c r="R18" s="9">
        <v>5</v>
      </c>
      <c r="S18" s="9">
        <v>8</v>
      </c>
      <c r="T18" s="9">
        <v>9</v>
      </c>
      <c r="U18" s="9">
        <v>7</v>
      </c>
      <c r="V18" s="9">
        <v>10</v>
      </c>
      <c r="W18">
        <v>72</v>
      </c>
      <c r="X18" s="9">
        <v>66.7</v>
      </c>
      <c r="Y18" s="9">
        <v>64.2</v>
      </c>
      <c r="Z18" s="9">
        <v>65.400000000000006</v>
      </c>
      <c r="AB18" s="9">
        <f t="shared" si="0"/>
        <v>3.819709702062643E-2</v>
      </c>
    </row>
    <row r="19" spans="1:28" ht="15.6" x14ac:dyDescent="0.3">
      <c r="A19" s="9" t="s">
        <v>5</v>
      </c>
      <c r="B19" s="9">
        <v>9</v>
      </c>
      <c r="C19" s="9">
        <v>6</v>
      </c>
      <c r="D19" s="9">
        <v>7</v>
      </c>
      <c r="E19" s="9">
        <v>7</v>
      </c>
      <c r="F19" s="9">
        <v>7</v>
      </c>
      <c r="G19" s="9">
        <v>6</v>
      </c>
      <c r="H19" s="9">
        <v>8</v>
      </c>
      <c r="I19" s="9">
        <v>6</v>
      </c>
      <c r="J19" s="9">
        <v>6</v>
      </c>
      <c r="K19" s="9">
        <v>8</v>
      </c>
      <c r="L19">
        <v>70</v>
      </c>
      <c r="M19" s="9">
        <v>8</v>
      </c>
      <c r="N19" s="9">
        <v>5</v>
      </c>
      <c r="O19" s="9">
        <v>5</v>
      </c>
      <c r="P19" s="9">
        <v>6</v>
      </c>
      <c r="Q19" s="9">
        <v>7</v>
      </c>
      <c r="R19" s="9">
        <v>5</v>
      </c>
      <c r="S19" s="9">
        <v>10</v>
      </c>
      <c r="T19" s="9">
        <v>6</v>
      </c>
      <c r="U19" s="9">
        <v>6</v>
      </c>
      <c r="V19" s="9">
        <v>8</v>
      </c>
      <c r="W19">
        <v>66</v>
      </c>
      <c r="X19" s="9">
        <v>68.8</v>
      </c>
      <c r="Y19" s="9">
        <v>60</v>
      </c>
      <c r="Z19" s="9">
        <v>64.400000000000006</v>
      </c>
      <c r="AB19" s="9">
        <f t="shared" si="0"/>
        <v>0.13664596273291921</v>
      </c>
    </row>
    <row r="20" spans="1:28" ht="15.6" x14ac:dyDescent="0.3">
      <c r="A20" s="9" t="s">
        <v>23</v>
      </c>
      <c r="B20" s="9">
        <v>8</v>
      </c>
      <c r="C20" s="9">
        <v>9</v>
      </c>
      <c r="D20" s="9">
        <v>6</v>
      </c>
      <c r="E20" s="9">
        <v>6.5</v>
      </c>
      <c r="F20" s="9">
        <v>9</v>
      </c>
      <c r="G20" s="9">
        <v>7</v>
      </c>
      <c r="H20" s="9">
        <v>8</v>
      </c>
      <c r="I20" s="9">
        <v>6</v>
      </c>
      <c r="J20" s="9">
        <v>6</v>
      </c>
      <c r="K20" s="9">
        <v>8</v>
      </c>
      <c r="L20">
        <v>73.5</v>
      </c>
      <c r="M20" s="9">
        <v>9</v>
      </c>
      <c r="N20" s="9">
        <v>9</v>
      </c>
      <c r="O20" s="9">
        <v>6</v>
      </c>
      <c r="P20" s="9">
        <v>7</v>
      </c>
      <c r="Q20" s="9">
        <v>8</v>
      </c>
      <c r="R20" s="9">
        <v>3</v>
      </c>
      <c r="S20" s="9">
        <v>8</v>
      </c>
      <c r="T20" s="9">
        <v>6</v>
      </c>
      <c r="U20" s="9">
        <v>3</v>
      </c>
      <c r="V20" s="9">
        <v>10</v>
      </c>
      <c r="W20">
        <v>69</v>
      </c>
      <c r="X20" s="9">
        <v>69.8</v>
      </c>
      <c r="Y20" s="9">
        <v>58.3</v>
      </c>
      <c r="Z20" s="9">
        <v>64.099999999999994</v>
      </c>
      <c r="AB20" s="9">
        <f t="shared" si="0"/>
        <v>0.1795472287275566</v>
      </c>
    </row>
    <row r="21" spans="1:28" ht="15.6" x14ac:dyDescent="0.3">
      <c r="A21" s="9" t="s">
        <v>21</v>
      </c>
      <c r="B21" s="9">
        <v>5</v>
      </c>
      <c r="C21" s="9">
        <v>7</v>
      </c>
      <c r="D21" s="9">
        <v>6</v>
      </c>
      <c r="E21" s="9">
        <v>7.5</v>
      </c>
      <c r="F21" s="9">
        <v>7</v>
      </c>
      <c r="G21" s="9">
        <v>7</v>
      </c>
      <c r="H21" s="9">
        <v>8</v>
      </c>
      <c r="I21" s="9">
        <v>6</v>
      </c>
      <c r="J21" s="9">
        <v>8</v>
      </c>
      <c r="K21" s="9">
        <v>8</v>
      </c>
      <c r="L21">
        <v>69.5</v>
      </c>
      <c r="M21" s="9">
        <v>6</v>
      </c>
      <c r="N21" s="9">
        <v>8</v>
      </c>
      <c r="O21" s="9">
        <v>5</v>
      </c>
      <c r="P21" s="9">
        <v>8</v>
      </c>
      <c r="Q21" s="9">
        <v>6</v>
      </c>
      <c r="R21" s="9">
        <v>5</v>
      </c>
      <c r="S21" s="9">
        <v>7</v>
      </c>
      <c r="T21" s="9">
        <v>6</v>
      </c>
      <c r="U21" s="9">
        <v>7</v>
      </c>
      <c r="V21" s="9">
        <v>8</v>
      </c>
      <c r="W21">
        <v>66</v>
      </c>
      <c r="X21" s="9">
        <v>66.900000000000006</v>
      </c>
      <c r="Y21" s="9">
        <v>57.9</v>
      </c>
      <c r="Z21" s="9">
        <v>62.4</v>
      </c>
      <c r="AB21" s="9">
        <f t="shared" si="0"/>
        <v>0.14423076923076933</v>
      </c>
    </row>
    <row r="22" spans="1:28" ht="15.6" x14ac:dyDescent="0.3">
      <c r="A22" s="9" t="s">
        <v>18</v>
      </c>
      <c r="B22" s="9">
        <v>9</v>
      </c>
      <c r="C22" s="9">
        <v>4</v>
      </c>
      <c r="D22" s="9">
        <v>8</v>
      </c>
      <c r="E22" s="9">
        <v>6.5</v>
      </c>
      <c r="F22" s="9">
        <v>6</v>
      </c>
      <c r="G22" s="9">
        <v>7</v>
      </c>
      <c r="H22" s="9">
        <v>5</v>
      </c>
      <c r="I22" s="9">
        <v>7</v>
      </c>
      <c r="J22" s="9">
        <v>6</v>
      </c>
      <c r="K22" s="9">
        <v>5</v>
      </c>
      <c r="L22">
        <v>63.5</v>
      </c>
      <c r="M22" s="9">
        <v>7</v>
      </c>
      <c r="N22" s="9">
        <v>5</v>
      </c>
      <c r="O22" s="9">
        <v>6</v>
      </c>
      <c r="P22" s="9">
        <v>6.5</v>
      </c>
      <c r="Q22" s="9">
        <v>5</v>
      </c>
      <c r="R22" s="9">
        <v>7</v>
      </c>
      <c r="S22" s="9">
        <v>5</v>
      </c>
      <c r="T22" s="9">
        <v>7</v>
      </c>
      <c r="U22" s="9">
        <v>6</v>
      </c>
      <c r="V22" s="9">
        <v>6</v>
      </c>
      <c r="W22">
        <v>60.5</v>
      </c>
      <c r="X22" s="9">
        <v>61.7</v>
      </c>
      <c r="Y22" s="9">
        <v>59.6</v>
      </c>
      <c r="Z22" s="9">
        <v>60.6</v>
      </c>
      <c r="AB22" s="9">
        <f t="shared" si="0"/>
        <v>3.4624896949711478E-2</v>
      </c>
    </row>
    <row r="23" spans="1:28" ht="15.6" x14ac:dyDescent="0.3">
      <c r="A23" s="9" t="s">
        <v>15</v>
      </c>
      <c r="B23" s="9">
        <v>10</v>
      </c>
      <c r="C23" s="9">
        <v>8</v>
      </c>
      <c r="D23" s="9">
        <v>7</v>
      </c>
      <c r="E23" s="9">
        <v>7.5</v>
      </c>
      <c r="F23" s="9">
        <v>7</v>
      </c>
      <c r="G23" s="9">
        <v>8</v>
      </c>
      <c r="H23" s="9">
        <v>3</v>
      </c>
      <c r="I23" s="9">
        <v>5</v>
      </c>
      <c r="J23" s="9">
        <v>6</v>
      </c>
      <c r="K23" s="9">
        <v>3</v>
      </c>
      <c r="L23">
        <v>64.5</v>
      </c>
      <c r="M23" s="9">
        <v>10</v>
      </c>
      <c r="N23" s="9">
        <v>8</v>
      </c>
      <c r="O23" s="9">
        <v>7</v>
      </c>
      <c r="P23" s="9">
        <v>7.5</v>
      </c>
      <c r="Q23" s="9">
        <v>8</v>
      </c>
      <c r="R23" s="9">
        <v>8</v>
      </c>
      <c r="S23" s="9">
        <v>3</v>
      </c>
      <c r="T23" s="9">
        <v>5</v>
      </c>
      <c r="U23" s="9">
        <v>7</v>
      </c>
      <c r="V23" s="9">
        <v>3</v>
      </c>
      <c r="W23">
        <v>66.5</v>
      </c>
      <c r="X23" s="9">
        <v>58.5</v>
      </c>
      <c r="Y23" s="9">
        <v>60.6</v>
      </c>
      <c r="Z23" s="9">
        <v>59.6</v>
      </c>
      <c r="AB23" s="9">
        <f t="shared" si="0"/>
        <v>3.5264483627204059E-2</v>
      </c>
    </row>
    <row r="24" spans="1:28" ht="15.6" x14ac:dyDescent="0.3">
      <c r="A24" s="9" t="s">
        <v>4</v>
      </c>
      <c r="B24" s="9">
        <v>8</v>
      </c>
      <c r="C24" s="9">
        <v>8</v>
      </c>
      <c r="D24" s="9">
        <v>6</v>
      </c>
      <c r="E24" s="9">
        <v>8</v>
      </c>
      <c r="F24" s="9">
        <v>7</v>
      </c>
      <c r="G24" s="9">
        <v>7</v>
      </c>
      <c r="H24" s="9">
        <v>5</v>
      </c>
      <c r="I24" s="9">
        <v>4</v>
      </c>
      <c r="J24" s="9">
        <v>5</v>
      </c>
      <c r="K24" s="9">
        <v>5</v>
      </c>
      <c r="L24">
        <v>63</v>
      </c>
      <c r="M24" s="9">
        <v>8</v>
      </c>
      <c r="N24" s="9">
        <v>9</v>
      </c>
      <c r="O24" s="9">
        <v>6</v>
      </c>
      <c r="P24" s="9">
        <v>7</v>
      </c>
      <c r="Q24" s="9">
        <v>7</v>
      </c>
      <c r="R24" s="9">
        <v>8</v>
      </c>
      <c r="S24" s="9">
        <v>5</v>
      </c>
      <c r="T24" s="9">
        <v>4</v>
      </c>
      <c r="U24" s="9">
        <v>4</v>
      </c>
      <c r="V24" s="9">
        <v>5</v>
      </c>
      <c r="W24">
        <v>63</v>
      </c>
      <c r="X24" s="9">
        <v>56.7</v>
      </c>
      <c r="Y24" s="9">
        <v>55.4</v>
      </c>
      <c r="Z24" s="9">
        <v>56</v>
      </c>
      <c r="AB24" s="9">
        <f t="shared" si="0"/>
        <v>2.319357716324718E-2</v>
      </c>
    </row>
    <row r="25" spans="1:28" ht="15.6" x14ac:dyDescent="0.3">
      <c r="A25" s="9" t="s">
        <v>6</v>
      </c>
      <c r="B25" s="9">
        <v>8</v>
      </c>
      <c r="C25" s="9">
        <v>6</v>
      </c>
      <c r="D25" s="9">
        <v>6</v>
      </c>
      <c r="E25" s="9">
        <v>7.5</v>
      </c>
      <c r="F25" s="9">
        <v>9</v>
      </c>
      <c r="G25" s="9">
        <v>7</v>
      </c>
      <c r="H25" s="9">
        <v>3</v>
      </c>
      <c r="I25" s="9">
        <v>4</v>
      </c>
      <c r="J25" s="9">
        <v>8</v>
      </c>
      <c r="K25" s="9">
        <v>5</v>
      </c>
      <c r="L25">
        <v>63.5</v>
      </c>
      <c r="M25" s="9">
        <v>4</v>
      </c>
      <c r="N25" s="9">
        <v>5</v>
      </c>
      <c r="O25" s="9">
        <v>5</v>
      </c>
      <c r="P25" s="9">
        <v>7.5</v>
      </c>
      <c r="Q25" s="9">
        <v>6</v>
      </c>
      <c r="R25" s="9">
        <v>7</v>
      </c>
      <c r="S25" s="9">
        <v>4</v>
      </c>
      <c r="T25" s="9">
        <v>4</v>
      </c>
      <c r="U25" s="9">
        <v>7</v>
      </c>
      <c r="V25" s="9">
        <v>5</v>
      </c>
      <c r="W25">
        <v>54.5</v>
      </c>
      <c r="X25" s="9">
        <v>58.5</v>
      </c>
      <c r="Y25" s="9">
        <v>46</v>
      </c>
      <c r="Z25" s="9">
        <v>52.3</v>
      </c>
      <c r="AB25" s="9">
        <f t="shared" si="0"/>
        <v>0.23923444976076555</v>
      </c>
    </row>
    <row r="26" spans="1:28" ht="15.6" x14ac:dyDescent="0.3">
      <c r="A26" s="9" t="s">
        <v>1</v>
      </c>
      <c r="B26" s="9">
        <v>10</v>
      </c>
      <c r="C26" s="9">
        <v>6</v>
      </c>
      <c r="D26" s="9">
        <v>7</v>
      </c>
      <c r="E26" s="9">
        <v>6.5</v>
      </c>
      <c r="F26" s="9">
        <v>7</v>
      </c>
      <c r="G26" s="9">
        <v>5</v>
      </c>
      <c r="H26" s="9">
        <v>3</v>
      </c>
      <c r="I26" s="9">
        <v>4</v>
      </c>
      <c r="J26" s="9">
        <v>4</v>
      </c>
      <c r="K26" s="9">
        <v>3</v>
      </c>
      <c r="L26">
        <v>55.5</v>
      </c>
      <c r="M26" s="9">
        <v>9</v>
      </c>
      <c r="N26" s="9">
        <v>6</v>
      </c>
      <c r="O26" s="9">
        <v>6</v>
      </c>
      <c r="P26" s="9">
        <v>6</v>
      </c>
      <c r="Q26" s="9">
        <v>8</v>
      </c>
      <c r="R26" s="9">
        <v>5</v>
      </c>
      <c r="S26" s="9">
        <v>3</v>
      </c>
      <c r="T26" s="9">
        <v>3</v>
      </c>
      <c r="U26" s="9">
        <v>5</v>
      </c>
      <c r="V26" s="9">
        <v>3</v>
      </c>
      <c r="W26">
        <v>54</v>
      </c>
      <c r="X26" s="9">
        <v>51</v>
      </c>
      <c r="Y26" s="9">
        <v>48.8</v>
      </c>
      <c r="Z26" s="9">
        <v>49.9</v>
      </c>
      <c r="AB26" s="9">
        <f t="shared" si="0"/>
        <v>4.4088176352705469E-2</v>
      </c>
    </row>
    <row r="27" spans="1:28" ht="15.6" x14ac:dyDescent="0.3">
      <c r="A27" s="9" t="s">
        <v>9</v>
      </c>
      <c r="B27" s="9">
        <v>3</v>
      </c>
      <c r="C27" s="9">
        <v>4</v>
      </c>
      <c r="D27" s="9">
        <v>6</v>
      </c>
      <c r="E27" s="9">
        <v>7</v>
      </c>
      <c r="F27" s="9">
        <v>5</v>
      </c>
      <c r="G27" s="9">
        <v>6</v>
      </c>
      <c r="H27" s="9">
        <v>5</v>
      </c>
      <c r="I27" s="9">
        <v>5</v>
      </c>
      <c r="J27" s="9">
        <v>5</v>
      </c>
      <c r="K27" s="9">
        <v>5</v>
      </c>
      <c r="L27">
        <v>51</v>
      </c>
      <c r="M27" s="9">
        <v>7</v>
      </c>
      <c r="N27" s="9">
        <v>4</v>
      </c>
      <c r="O27" s="9">
        <v>4</v>
      </c>
      <c r="P27" s="9">
        <v>6</v>
      </c>
      <c r="Q27" s="9">
        <v>5</v>
      </c>
      <c r="R27" s="9">
        <v>5</v>
      </c>
      <c r="S27" s="9">
        <v>4</v>
      </c>
      <c r="T27" s="9">
        <v>5</v>
      </c>
      <c r="U27" s="9">
        <v>5</v>
      </c>
      <c r="V27" s="9">
        <v>5</v>
      </c>
      <c r="W27">
        <v>50</v>
      </c>
      <c r="X27" s="9">
        <v>44.6</v>
      </c>
      <c r="Y27" s="9">
        <v>47.9</v>
      </c>
      <c r="Z27" s="9">
        <v>48.8</v>
      </c>
      <c r="AB27" s="9">
        <f t="shared" si="0"/>
        <v>7.1351351351351289E-2</v>
      </c>
    </row>
    <row r="28" spans="1:28" ht="15.6" x14ac:dyDescent="0.3">
      <c r="A28" s="9" t="s">
        <v>126</v>
      </c>
      <c r="B28" s="9">
        <v>7</v>
      </c>
      <c r="C28" s="9">
        <v>6</v>
      </c>
      <c r="D28" s="9">
        <v>5</v>
      </c>
      <c r="E28" s="9">
        <v>6.5</v>
      </c>
      <c r="F28" s="9">
        <v>6</v>
      </c>
      <c r="G28" s="9">
        <v>5</v>
      </c>
      <c r="H28" s="9">
        <v>3</v>
      </c>
      <c r="I28" s="9">
        <v>4</v>
      </c>
      <c r="J28" s="9">
        <v>4</v>
      </c>
      <c r="K28" s="9">
        <v>3</v>
      </c>
      <c r="L28">
        <v>49.5</v>
      </c>
      <c r="M28" s="9">
        <v>7</v>
      </c>
      <c r="N28" s="9">
        <v>6</v>
      </c>
      <c r="O28" s="9">
        <v>6</v>
      </c>
      <c r="P28" s="9">
        <v>6</v>
      </c>
      <c r="Q28" s="9">
        <v>6</v>
      </c>
      <c r="R28" s="9">
        <v>5</v>
      </c>
      <c r="S28" s="9">
        <v>3</v>
      </c>
      <c r="T28" s="9">
        <v>4</v>
      </c>
      <c r="U28" s="9">
        <v>4</v>
      </c>
      <c r="V28" s="9">
        <v>3</v>
      </c>
      <c r="W28">
        <v>50</v>
      </c>
      <c r="X28" s="9">
        <v>44.8</v>
      </c>
      <c r="Y28" s="9">
        <v>46.3</v>
      </c>
      <c r="Z28" s="9">
        <v>45.5</v>
      </c>
      <c r="AB28" s="9">
        <f t="shared" si="0"/>
        <v>3.2930845225027441E-2</v>
      </c>
    </row>
    <row r="29" spans="1:28" ht="15.6" x14ac:dyDescent="0.3">
      <c r="A29" s="9" t="s">
        <v>11</v>
      </c>
      <c r="B29" s="9">
        <v>0</v>
      </c>
      <c r="C29" s="9">
        <v>6</v>
      </c>
      <c r="D29" s="9">
        <v>3</v>
      </c>
      <c r="E29" s="9">
        <v>8</v>
      </c>
      <c r="F29" s="9">
        <v>7</v>
      </c>
      <c r="G29" s="9">
        <v>7</v>
      </c>
      <c r="H29" s="9">
        <v>5</v>
      </c>
      <c r="I29" s="9">
        <v>7</v>
      </c>
      <c r="J29" s="9">
        <v>7</v>
      </c>
      <c r="K29" s="9">
        <v>8</v>
      </c>
      <c r="L29">
        <v>58</v>
      </c>
      <c r="M29" s="9">
        <v>2</v>
      </c>
      <c r="N29" s="9">
        <v>6</v>
      </c>
      <c r="O29" s="9">
        <v>0</v>
      </c>
      <c r="P29" s="9">
        <v>7</v>
      </c>
      <c r="Q29" s="9">
        <v>7</v>
      </c>
      <c r="R29" s="9">
        <v>5</v>
      </c>
      <c r="S29" s="9">
        <v>8</v>
      </c>
      <c r="T29" s="9">
        <v>6</v>
      </c>
      <c r="U29" s="9">
        <v>6</v>
      </c>
      <c r="V29" s="9">
        <v>8</v>
      </c>
      <c r="W29">
        <v>55</v>
      </c>
      <c r="X29" s="9">
        <v>38.799999999999997</v>
      </c>
      <c r="Y29" s="9">
        <v>39.6</v>
      </c>
      <c r="Z29" s="9">
        <v>45.4</v>
      </c>
      <c r="AB29" s="9">
        <f t="shared" si="0"/>
        <v>2.0408163265306228E-2</v>
      </c>
    </row>
    <row r="30" spans="1:28" ht="15.6" x14ac:dyDescent="0.3">
      <c r="A30" s="9" t="s">
        <v>10</v>
      </c>
      <c r="B30" s="9">
        <v>2</v>
      </c>
      <c r="C30" s="9">
        <v>5</v>
      </c>
      <c r="D30" s="9">
        <v>5</v>
      </c>
      <c r="E30" s="9">
        <v>7</v>
      </c>
      <c r="F30" s="9">
        <v>6</v>
      </c>
      <c r="G30" s="9">
        <v>6</v>
      </c>
      <c r="H30" s="9">
        <v>5</v>
      </c>
      <c r="I30" s="9">
        <v>5</v>
      </c>
      <c r="J30" s="9">
        <v>6</v>
      </c>
      <c r="K30" s="9">
        <v>8</v>
      </c>
      <c r="L30">
        <v>55</v>
      </c>
      <c r="M30" s="9">
        <v>2</v>
      </c>
      <c r="N30" s="9">
        <v>7</v>
      </c>
      <c r="O30" s="9">
        <v>4</v>
      </c>
      <c r="P30" s="9">
        <v>6</v>
      </c>
      <c r="Q30" s="9">
        <v>6</v>
      </c>
      <c r="R30" s="9">
        <v>8</v>
      </c>
      <c r="S30" s="9">
        <v>4</v>
      </c>
      <c r="T30" s="9">
        <v>6</v>
      </c>
      <c r="U30" s="9">
        <v>6</v>
      </c>
      <c r="V30" s="9">
        <v>8</v>
      </c>
      <c r="W30">
        <v>57</v>
      </c>
      <c r="X30" s="9">
        <v>43.3</v>
      </c>
      <c r="Y30" s="9">
        <v>41.3</v>
      </c>
      <c r="Z30" s="9">
        <v>42.3</v>
      </c>
      <c r="AB30" s="9">
        <f t="shared" si="0"/>
        <v>4.7281323877068564E-2</v>
      </c>
    </row>
    <row r="31" spans="1:28" ht="15.6" x14ac:dyDescent="0.3">
      <c r="A31" s="9" t="s">
        <v>8</v>
      </c>
      <c r="B31" s="9">
        <v>1</v>
      </c>
      <c r="C31" s="9">
        <v>3</v>
      </c>
      <c r="D31" s="9">
        <v>5</v>
      </c>
      <c r="E31" s="9">
        <v>7</v>
      </c>
      <c r="F31" s="9">
        <v>7</v>
      </c>
      <c r="G31" s="9">
        <v>7</v>
      </c>
      <c r="H31" s="9">
        <v>3</v>
      </c>
      <c r="I31" s="9">
        <v>6</v>
      </c>
      <c r="J31" s="9">
        <v>7</v>
      </c>
      <c r="K31" s="9">
        <v>8</v>
      </c>
      <c r="L31">
        <v>54</v>
      </c>
      <c r="M31" s="9">
        <v>1</v>
      </c>
      <c r="N31" s="9">
        <v>3</v>
      </c>
      <c r="O31" s="9">
        <v>5</v>
      </c>
      <c r="P31" s="9">
        <v>6.5</v>
      </c>
      <c r="Q31" s="9">
        <v>7</v>
      </c>
      <c r="R31" s="9">
        <v>7</v>
      </c>
      <c r="S31" s="9">
        <v>3</v>
      </c>
      <c r="T31" s="9">
        <v>7</v>
      </c>
      <c r="U31" s="9">
        <v>7</v>
      </c>
      <c r="V31" s="9">
        <v>7</v>
      </c>
      <c r="W31">
        <v>53.5</v>
      </c>
      <c r="X31" s="9">
        <v>34.200000000000003</v>
      </c>
      <c r="Y31" s="9">
        <v>34</v>
      </c>
      <c r="Z31" s="9">
        <v>34.1</v>
      </c>
      <c r="AB31" s="9">
        <f t="shared" si="0"/>
        <v>5.8651026392962709E-3</v>
      </c>
    </row>
    <row r="33" spans="1:28" ht="15.6" x14ac:dyDescent="0.3">
      <c r="A33" s="16" t="s">
        <v>187</v>
      </c>
      <c r="B33" s="16">
        <f>_xlfn.VAR.P(B2:B31)</f>
        <v>8.0933333333333337</v>
      </c>
      <c r="C33" s="16">
        <f t="shared" ref="C33:K33" si="1">_xlfn.VAR.P(C2:C31)</f>
        <v>3.2622222222222224</v>
      </c>
      <c r="D33" s="16">
        <f t="shared" si="1"/>
        <v>1.9955555555555555</v>
      </c>
      <c r="E33" s="16">
        <f t="shared" si="1"/>
        <v>0.55138888888888882</v>
      </c>
      <c r="F33" s="16">
        <f t="shared" si="1"/>
        <v>1.1833333333333333</v>
      </c>
      <c r="G33" s="16">
        <f t="shared" si="1"/>
        <v>0.86222222222222222</v>
      </c>
      <c r="H33" s="16">
        <f t="shared" si="1"/>
        <v>5.1733333333333329</v>
      </c>
      <c r="I33" s="16">
        <f t="shared" si="1"/>
        <v>2.9388888888888891</v>
      </c>
      <c r="J33" s="16">
        <f t="shared" si="1"/>
        <v>2.0933333333333333</v>
      </c>
      <c r="K33" s="16">
        <f t="shared" si="1"/>
        <v>3.81</v>
      </c>
      <c r="L33" s="16">
        <f t="shared" ref="L33:W33" si="2">_xlfn.VAR.P(L2:L31)</f>
        <v>125.7625</v>
      </c>
      <c r="M33" s="16">
        <f t="shared" si="2"/>
        <v>5.6888888888888891</v>
      </c>
      <c r="N33" s="16">
        <f t="shared" si="2"/>
        <v>3.0222222222222221</v>
      </c>
      <c r="O33" s="16">
        <f t="shared" si="2"/>
        <v>3.4488888888888889</v>
      </c>
      <c r="P33" s="16">
        <f t="shared" si="2"/>
        <v>1.0266666666666666</v>
      </c>
      <c r="Q33" s="16">
        <f t="shared" si="2"/>
        <v>1.298888888888889</v>
      </c>
      <c r="R33" s="16">
        <f t="shared" si="2"/>
        <v>2.6266666666666665</v>
      </c>
      <c r="S33" s="16">
        <f t="shared" si="2"/>
        <v>5.112222222222222</v>
      </c>
      <c r="T33" s="16">
        <f t="shared" si="2"/>
        <v>3.4622222222222221</v>
      </c>
      <c r="U33" s="16">
        <f t="shared" si="2"/>
        <v>2.4455555555555555</v>
      </c>
      <c r="V33" s="16">
        <f t="shared" si="2"/>
        <v>4.4988888888888887</v>
      </c>
      <c r="W33" s="16">
        <f t="shared" si="2"/>
        <v>128.26222222222222</v>
      </c>
      <c r="X33" s="16"/>
      <c r="Y33" s="16"/>
      <c r="Z33" s="16">
        <f>ROUND(AVERAGE(Z2:Z31),3)</f>
        <v>65.087000000000003</v>
      </c>
      <c r="AB33" s="16">
        <f>SUM(AB2:AB31)</f>
        <v>1.6984742425901327</v>
      </c>
    </row>
    <row r="34" spans="1:28" ht="15.6" x14ac:dyDescent="0.3">
      <c r="A34" s="16" t="s">
        <v>131</v>
      </c>
      <c r="B34" s="16"/>
      <c r="C34" s="16"/>
      <c r="D34" s="16"/>
      <c r="E34" s="16"/>
      <c r="F34" s="16"/>
      <c r="G34" s="16"/>
      <c r="H34" s="16"/>
      <c r="I34" s="16"/>
      <c r="J34" s="16"/>
      <c r="K34" s="16"/>
      <c r="L34" s="16">
        <v>30</v>
      </c>
      <c r="M34" s="16"/>
      <c r="N34" s="16"/>
      <c r="O34" s="16"/>
      <c r="P34" s="16"/>
      <c r="Q34" s="16"/>
      <c r="R34" s="16"/>
      <c r="S34" s="16"/>
      <c r="T34" s="16"/>
      <c r="U34" s="16"/>
      <c r="V34" s="16"/>
      <c r="W34" s="16">
        <v>30</v>
      </c>
      <c r="X34" s="16"/>
      <c r="Y34" s="16"/>
      <c r="Z34" s="16">
        <f>ROUNDUP(SQRT(_xlfn.VAR.P(Z2:Z31)),3)</f>
        <v>13.318</v>
      </c>
      <c r="AB34" s="16">
        <v>30</v>
      </c>
    </row>
    <row r="35" spans="1:28" ht="15.6" x14ac:dyDescent="0.3">
      <c r="A35" s="16" t="s">
        <v>188</v>
      </c>
      <c r="B35" s="16">
        <f>ROUND((L35+W35)/2,3)</f>
        <v>0.78</v>
      </c>
      <c r="C35" s="16">
        <f>ROUNDUP(ABS((W35-L35)/2),3)</f>
        <v>9.0000000000000011E-3</v>
      </c>
      <c r="D35" s="16"/>
      <c r="E35" s="16"/>
      <c r="F35" s="16"/>
      <c r="G35" s="16"/>
      <c r="H35" s="16"/>
      <c r="I35" s="16"/>
      <c r="J35" s="16"/>
      <c r="K35" s="16"/>
      <c r="L35" s="16">
        <f>(1-(SUM(B33:K33)/L33))*(L34/(L34-1))</f>
        <v>0.78801152052936863</v>
      </c>
      <c r="M35" s="16"/>
      <c r="N35" s="16"/>
      <c r="O35" s="16"/>
      <c r="P35" s="16"/>
      <c r="Q35" s="16"/>
      <c r="R35" s="16"/>
      <c r="S35" s="16"/>
      <c r="T35" s="16"/>
      <c r="U35" s="16"/>
      <c r="V35" s="16"/>
      <c r="W35" s="16">
        <f>(1-(SUM(M33:V33)/W33))*(W34/(W34-1))</f>
        <v>0.77130065204065912</v>
      </c>
      <c r="X35" s="16"/>
      <c r="Y35" s="16"/>
      <c r="Z35" s="16">
        <f>ROUNDDOWN(MIN(Z2:Z31),3)</f>
        <v>34.1</v>
      </c>
      <c r="AB35" s="16">
        <f>AB33/AB34</f>
        <v>5.6615808086337753E-2</v>
      </c>
    </row>
    <row r="36" spans="1:28" ht="15.6" x14ac:dyDescent="0.3">
      <c r="A36" s="16" t="s">
        <v>421</v>
      </c>
      <c r="B36" s="16">
        <f>AB35</f>
        <v>5.6615808086337753E-2</v>
      </c>
      <c r="X36" s="16"/>
      <c r="Y36" s="16"/>
      <c r="Z36" s="16">
        <f>ROUNDUP(MAX(Z2:Z31),3)</f>
        <v>87.9</v>
      </c>
    </row>
    <row r="38" spans="1:28" ht="15.6" x14ac:dyDescent="0.3">
      <c r="Z38" s="16">
        <f>ROUNDUP(ABS(Z35-Z36)/SQRT(12),3)</f>
        <v>15.530999999999999</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E10F1-F84C-498E-966E-FBFD687E78C7}">
  <dimension ref="A1:N35"/>
  <sheetViews>
    <sheetView zoomScale="85" zoomScaleNormal="85" workbookViewId="0">
      <selection sqref="A1:N29"/>
    </sheetView>
  </sheetViews>
  <sheetFormatPr defaultRowHeight="14.4" x14ac:dyDescent="0.3"/>
  <cols>
    <col min="1" max="1" width="38.33203125" bestFit="1" customWidth="1"/>
    <col min="2" max="2" width="9.88671875" bestFit="1" customWidth="1"/>
    <col min="3" max="3" width="14.21875" bestFit="1" customWidth="1"/>
    <col min="4" max="4" width="9" bestFit="1" customWidth="1"/>
    <col min="5" max="5" width="27.21875" bestFit="1" customWidth="1"/>
    <col min="6" max="6" width="17" bestFit="1" customWidth="1"/>
    <col min="7" max="7" width="14.21875" bestFit="1" customWidth="1"/>
    <col min="8" max="8" width="14.6640625" bestFit="1" customWidth="1"/>
    <col min="9" max="9" width="19.109375" bestFit="1" customWidth="1"/>
    <col min="10" max="10" width="10" bestFit="1" customWidth="1"/>
    <col min="11" max="11" width="12.88671875" bestFit="1" customWidth="1"/>
    <col min="12" max="12" width="21.5546875" bestFit="1" customWidth="1"/>
    <col min="13" max="13" width="12" bestFit="1" customWidth="1"/>
    <col min="14" max="14" width="12.6640625" bestFit="1" customWidth="1"/>
    <col min="15" max="15" width="11.33203125" bestFit="1" customWidth="1"/>
  </cols>
  <sheetData>
    <row r="1" spans="1:14" ht="15.6" x14ac:dyDescent="0.3">
      <c r="A1" s="9" t="s">
        <v>60</v>
      </c>
      <c r="B1" s="9" t="s">
        <v>173</v>
      </c>
      <c r="C1" s="9" t="s">
        <v>180</v>
      </c>
      <c r="D1" s="9" t="s">
        <v>181</v>
      </c>
      <c r="E1" s="9" t="s">
        <v>197</v>
      </c>
      <c r="F1" s="9" t="s">
        <v>201</v>
      </c>
      <c r="G1" s="9" t="s">
        <v>204</v>
      </c>
      <c r="H1" s="9" t="s">
        <v>205</v>
      </c>
      <c r="I1" s="9" t="s">
        <v>206</v>
      </c>
      <c r="J1" s="9" t="s">
        <v>210</v>
      </c>
      <c r="K1" s="9" t="s">
        <v>211</v>
      </c>
      <c r="L1" s="9" t="s">
        <v>212</v>
      </c>
      <c r="M1" s="9" t="s">
        <v>219</v>
      </c>
      <c r="N1" t="s">
        <v>393</v>
      </c>
    </row>
    <row r="2" spans="1:14" ht="15.6" x14ac:dyDescent="0.3">
      <c r="A2" s="9" t="s">
        <v>0</v>
      </c>
      <c r="B2" s="9" t="s">
        <v>174</v>
      </c>
      <c r="C2" s="9">
        <v>71.3</v>
      </c>
      <c r="D2" s="9">
        <v>5</v>
      </c>
      <c r="E2" s="9" t="s">
        <v>200</v>
      </c>
      <c r="F2" s="9" t="s">
        <v>25</v>
      </c>
      <c r="G2" s="9">
        <v>54</v>
      </c>
      <c r="H2" s="9">
        <v>3.8</v>
      </c>
      <c r="I2" s="9">
        <v>3.7</v>
      </c>
      <c r="J2" s="9">
        <v>11</v>
      </c>
      <c r="K2" s="9">
        <v>0</v>
      </c>
      <c r="L2" s="9">
        <v>121</v>
      </c>
      <c r="M2" s="9" t="s">
        <v>220</v>
      </c>
      <c r="N2">
        <v>0.4</v>
      </c>
    </row>
    <row r="3" spans="1:14" ht="15.6" x14ac:dyDescent="0.3">
      <c r="A3" s="9" t="s">
        <v>125</v>
      </c>
      <c r="B3" s="9" t="s">
        <v>174</v>
      </c>
      <c r="C3" s="9">
        <v>67.8</v>
      </c>
      <c r="D3" s="9">
        <v>3</v>
      </c>
      <c r="E3" s="9" t="s">
        <v>200</v>
      </c>
      <c r="F3" s="9" t="s">
        <v>25</v>
      </c>
      <c r="G3" s="9">
        <v>54.207999999999998</v>
      </c>
      <c r="H3" s="9">
        <v>2.4</v>
      </c>
      <c r="I3" s="9">
        <v>2.6</v>
      </c>
      <c r="J3" s="9">
        <v>14</v>
      </c>
      <c r="K3" s="9">
        <v>1</v>
      </c>
      <c r="L3" s="9">
        <v>169</v>
      </c>
      <c r="M3" s="9" t="s">
        <v>220</v>
      </c>
      <c r="N3">
        <v>0.88</v>
      </c>
    </row>
    <row r="4" spans="1:14" ht="15.6" x14ac:dyDescent="0.3">
      <c r="A4" s="9" t="s">
        <v>20</v>
      </c>
      <c r="B4" s="9" t="s">
        <v>174</v>
      </c>
      <c r="C4" s="9">
        <v>65.599999999999994</v>
      </c>
      <c r="D4" s="9">
        <v>6</v>
      </c>
      <c r="E4" s="9" t="s">
        <v>198</v>
      </c>
      <c r="F4" s="9" t="s">
        <v>26</v>
      </c>
      <c r="G4" s="9">
        <v>51.216000000000001</v>
      </c>
      <c r="H4" s="9">
        <v>2</v>
      </c>
      <c r="I4" s="9">
        <v>4.3</v>
      </c>
      <c r="J4" s="9">
        <v>15</v>
      </c>
      <c r="K4" s="9">
        <v>2</v>
      </c>
      <c r="L4" s="9">
        <v>169</v>
      </c>
      <c r="M4" s="9" t="s">
        <v>220</v>
      </c>
      <c r="N4">
        <v>0.88</v>
      </c>
    </row>
    <row r="5" spans="1:14" ht="15.6" x14ac:dyDescent="0.3">
      <c r="A5" s="9" t="s">
        <v>24</v>
      </c>
      <c r="B5" s="9" t="s">
        <v>174</v>
      </c>
      <c r="C5" s="9">
        <v>87.9</v>
      </c>
      <c r="D5" s="9">
        <v>6</v>
      </c>
      <c r="E5" s="9" t="s">
        <v>198</v>
      </c>
      <c r="F5" s="9" t="s">
        <v>25</v>
      </c>
      <c r="G5" s="9">
        <v>43.068000000000005</v>
      </c>
      <c r="H5" s="9">
        <v>1.2</v>
      </c>
      <c r="I5" s="9">
        <v>3.1</v>
      </c>
      <c r="J5" s="9">
        <v>0</v>
      </c>
      <c r="K5" s="9">
        <v>3</v>
      </c>
      <c r="L5" s="9">
        <v>9</v>
      </c>
      <c r="M5" s="9" t="s">
        <v>220</v>
      </c>
      <c r="N5">
        <v>0.7400000000000001</v>
      </c>
    </row>
    <row r="6" spans="1:14" ht="15.6" x14ac:dyDescent="0.3">
      <c r="A6" s="9" t="s">
        <v>17</v>
      </c>
      <c r="B6" s="9" t="s">
        <v>174</v>
      </c>
      <c r="C6" s="9">
        <v>84.2</v>
      </c>
      <c r="D6" s="9">
        <v>3</v>
      </c>
      <c r="E6" s="9" t="s">
        <v>200</v>
      </c>
      <c r="F6" s="9" t="s">
        <v>26</v>
      </c>
      <c r="G6" s="9">
        <v>53.5</v>
      </c>
      <c r="H6" s="9">
        <v>1.3</v>
      </c>
      <c r="I6" s="9">
        <v>2.1</v>
      </c>
      <c r="J6" s="9">
        <v>2</v>
      </c>
      <c r="K6" s="9">
        <v>4</v>
      </c>
      <c r="L6" s="9">
        <v>4</v>
      </c>
      <c r="M6" s="9" t="s">
        <v>220</v>
      </c>
      <c r="N6">
        <v>1</v>
      </c>
    </row>
    <row r="7" spans="1:14" ht="15.6" x14ac:dyDescent="0.3">
      <c r="A7" s="9" t="s">
        <v>21</v>
      </c>
      <c r="B7" s="9" t="s">
        <v>174</v>
      </c>
      <c r="C7" s="9">
        <v>62.4</v>
      </c>
      <c r="D7" s="9">
        <v>10</v>
      </c>
      <c r="E7" s="9" t="s">
        <v>198</v>
      </c>
      <c r="F7" s="9" t="s">
        <v>25</v>
      </c>
      <c r="G7" s="9">
        <v>50.8</v>
      </c>
      <c r="H7" s="9">
        <v>1.3</v>
      </c>
      <c r="I7" s="9">
        <v>0.4</v>
      </c>
      <c r="J7" s="9">
        <v>19</v>
      </c>
      <c r="K7" s="9">
        <v>5</v>
      </c>
      <c r="L7" s="9">
        <v>196</v>
      </c>
      <c r="M7" s="9" t="s">
        <v>220</v>
      </c>
      <c r="N7">
        <v>1</v>
      </c>
    </row>
    <row r="8" spans="1:14" ht="15.6" x14ac:dyDescent="0.3">
      <c r="A8" s="9" t="s">
        <v>124</v>
      </c>
      <c r="B8" s="9" t="s">
        <v>174</v>
      </c>
      <c r="C8" s="9">
        <v>77.8</v>
      </c>
      <c r="D8" s="9">
        <v>6</v>
      </c>
      <c r="E8" s="9" t="s">
        <v>198</v>
      </c>
      <c r="F8" s="9" t="s">
        <v>25</v>
      </c>
      <c r="G8" s="9">
        <v>26.39</v>
      </c>
      <c r="H8" s="9">
        <v>1.4</v>
      </c>
      <c r="I8" s="9">
        <v>5.5</v>
      </c>
      <c r="J8" s="9">
        <v>4</v>
      </c>
      <c r="K8" s="9">
        <v>7</v>
      </c>
      <c r="L8" s="9">
        <v>9</v>
      </c>
      <c r="M8" s="9" t="s">
        <v>220</v>
      </c>
      <c r="N8">
        <v>0.65</v>
      </c>
    </row>
    <row r="9" spans="1:14" ht="15.6" x14ac:dyDescent="0.3">
      <c r="A9" s="9" t="s">
        <v>16</v>
      </c>
      <c r="B9" s="9" t="s">
        <v>174</v>
      </c>
      <c r="C9" s="9">
        <v>82.5</v>
      </c>
      <c r="D9" s="9">
        <v>10</v>
      </c>
      <c r="E9" s="9" t="s">
        <v>200</v>
      </c>
      <c r="F9" s="9" t="s">
        <v>25</v>
      </c>
      <c r="G9" s="9">
        <v>37.9</v>
      </c>
      <c r="H9" s="9">
        <v>2.1</v>
      </c>
      <c r="I9" s="9">
        <v>1</v>
      </c>
      <c r="J9" s="9">
        <v>3</v>
      </c>
      <c r="K9" s="9">
        <v>8</v>
      </c>
      <c r="L9" s="9">
        <v>25</v>
      </c>
      <c r="M9" s="9" t="s">
        <v>220</v>
      </c>
      <c r="N9">
        <v>1</v>
      </c>
    </row>
    <row r="10" spans="1:14" ht="15.6" x14ac:dyDescent="0.3">
      <c r="A10" s="9" t="s">
        <v>14</v>
      </c>
      <c r="B10" s="9" t="s">
        <v>174</v>
      </c>
      <c r="C10" s="9">
        <v>73.2</v>
      </c>
      <c r="D10" s="9">
        <v>6</v>
      </c>
      <c r="E10" s="9" t="s">
        <v>200</v>
      </c>
      <c r="F10" s="9" t="s">
        <v>25</v>
      </c>
      <c r="G10" s="9">
        <v>33.367999999999995</v>
      </c>
      <c r="H10" s="9">
        <v>2.6</v>
      </c>
      <c r="I10" s="9">
        <v>1.1000000000000001</v>
      </c>
      <c r="J10" s="9">
        <v>8</v>
      </c>
      <c r="K10" s="9">
        <v>9</v>
      </c>
      <c r="L10" s="9">
        <v>1</v>
      </c>
      <c r="M10" s="9" t="s">
        <v>220</v>
      </c>
      <c r="N10">
        <v>0.96999999999999986</v>
      </c>
    </row>
    <row r="11" spans="1:14" ht="15.6" x14ac:dyDescent="0.3">
      <c r="A11" s="9" t="s">
        <v>19</v>
      </c>
      <c r="B11" s="9" t="s">
        <v>174</v>
      </c>
      <c r="C11" s="9">
        <v>75.400000000000006</v>
      </c>
      <c r="D11" s="9">
        <v>11</v>
      </c>
      <c r="E11" s="9" t="s">
        <v>198</v>
      </c>
      <c r="F11" s="9" t="s">
        <v>281</v>
      </c>
      <c r="G11" s="9">
        <v>33.5</v>
      </c>
      <c r="H11" s="9">
        <v>2.2000000000000002</v>
      </c>
      <c r="I11" s="9">
        <v>1.5</v>
      </c>
      <c r="J11" s="9">
        <v>5</v>
      </c>
      <c r="K11" s="9">
        <v>10</v>
      </c>
      <c r="L11" s="9">
        <v>25</v>
      </c>
      <c r="M11" s="9" t="s">
        <v>220</v>
      </c>
      <c r="N11">
        <v>1</v>
      </c>
    </row>
    <row r="12" spans="1:14" ht="15.6" x14ac:dyDescent="0.3">
      <c r="A12" s="9" t="s">
        <v>123</v>
      </c>
      <c r="B12" s="9" t="s">
        <v>174</v>
      </c>
      <c r="C12" s="9">
        <v>71.5</v>
      </c>
      <c r="D12" s="9">
        <v>23</v>
      </c>
      <c r="E12" s="9" t="s">
        <v>198</v>
      </c>
      <c r="F12" s="9" t="s">
        <v>27</v>
      </c>
      <c r="G12" s="9">
        <v>27.917999999999999</v>
      </c>
      <c r="H12" s="9">
        <v>1.4</v>
      </c>
      <c r="I12" s="9">
        <v>0.8</v>
      </c>
      <c r="J12" s="9">
        <v>10</v>
      </c>
      <c r="K12" s="9">
        <v>11</v>
      </c>
      <c r="L12" s="9">
        <v>1</v>
      </c>
      <c r="M12" s="9" t="s">
        <v>220</v>
      </c>
      <c r="N12">
        <v>0.99</v>
      </c>
    </row>
    <row r="13" spans="1:14" ht="15.6" x14ac:dyDescent="0.3">
      <c r="A13" s="9" t="s">
        <v>18</v>
      </c>
      <c r="B13" s="9" t="s">
        <v>174</v>
      </c>
      <c r="C13" s="9">
        <v>60.6</v>
      </c>
      <c r="D13" s="9">
        <v>4</v>
      </c>
      <c r="E13" s="9" t="s">
        <v>198</v>
      </c>
      <c r="F13" s="9" t="s">
        <v>26</v>
      </c>
      <c r="G13" s="9">
        <v>27.422999999999998</v>
      </c>
      <c r="H13" s="9">
        <v>1.5</v>
      </c>
      <c r="I13" s="9">
        <v>0.4</v>
      </c>
      <c r="J13" s="9">
        <v>20</v>
      </c>
      <c r="K13" s="9">
        <v>12</v>
      </c>
      <c r="L13" s="9">
        <v>64</v>
      </c>
      <c r="M13" s="9" t="s">
        <v>220</v>
      </c>
      <c r="N13">
        <v>0.99</v>
      </c>
    </row>
    <row r="14" spans="1:14" ht="15.6" x14ac:dyDescent="0.3">
      <c r="A14" s="9" t="s">
        <v>11</v>
      </c>
      <c r="B14" s="9" t="s">
        <v>174</v>
      </c>
      <c r="C14" s="9">
        <v>45.4</v>
      </c>
      <c r="D14" s="9">
        <v>16</v>
      </c>
      <c r="E14" s="9" t="s">
        <v>362</v>
      </c>
      <c r="F14" s="9" t="s">
        <v>25</v>
      </c>
      <c r="G14" s="9">
        <v>25.7</v>
      </c>
      <c r="H14" s="9">
        <v>3.6</v>
      </c>
      <c r="I14" s="9">
        <v>1.2</v>
      </c>
      <c r="J14" s="9">
        <v>27</v>
      </c>
      <c r="K14" s="9">
        <v>13</v>
      </c>
      <c r="L14" s="9">
        <v>196</v>
      </c>
      <c r="M14" s="9" t="s">
        <v>220</v>
      </c>
      <c r="N14">
        <v>1</v>
      </c>
    </row>
    <row r="15" spans="1:14" ht="15.6" x14ac:dyDescent="0.3">
      <c r="A15" s="9" t="s">
        <v>5</v>
      </c>
      <c r="B15" s="9" t="s">
        <v>174</v>
      </c>
      <c r="C15" s="9">
        <v>64.400000000000006</v>
      </c>
      <c r="D15" s="9">
        <v>14</v>
      </c>
      <c r="E15" s="9" t="s">
        <v>198</v>
      </c>
      <c r="F15" s="9" t="s">
        <v>26</v>
      </c>
      <c r="G15" s="9">
        <v>25</v>
      </c>
      <c r="H15" s="9">
        <v>2.5</v>
      </c>
      <c r="I15" s="9">
        <v>0.7</v>
      </c>
      <c r="J15" s="9">
        <v>17</v>
      </c>
      <c r="K15" s="9">
        <v>14</v>
      </c>
      <c r="L15" s="9">
        <v>9</v>
      </c>
      <c r="M15" s="9" t="s">
        <v>220</v>
      </c>
      <c r="N15">
        <v>1</v>
      </c>
    </row>
    <row r="16" spans="1:14" ht="15.6" x14ac:dyDescent="0.3">
      <c r="A16" s="9" t="s">
        <v>13</v>
      </c>
      <c r="B16" s="9" t="s">
        <v>174</v>
      </c>
      <c r="C16" s="9">
        <v>65.400000000000006</v>
      </c>
      <c r="D16" s="9">
        <v>11</v>
      </c>
      <c r="E16" s="9" t="s">
        <v>200</v>
      </c>
      <c r="F16" s="9" t="s">
        <v>25</v>
      </c>
      <c r="G16" s="9">
        <v>21.808</v>
      </c>
      <c r="H16" s="9">
        <v>2.2000000000000002</v>
      </c>
      <c r="I16" s="9">
        <v>1.9</v>
      </c>
      <c r="J16" s="9">
        <v>16</v>
      </c>
      <c r="K16" s="9">
        <v>15</v>
      </c>
      <c r="L16" s="9">
        <v>1</v>
      </c>
      <c r="M16" s="9" t="s">
        <v>220</v>
      </c>
      <c r="N16">
        <v>0.94000000000000006</v>
      </c>
    </row>
    <row r="17" spans="1:14" ht="15.6" x14ac:dyDescent="0.3">
      <c r="A17" s="9" t="s">
        <v>4</v>
      </c>
      <c r="B17" s="9" t="s">
        <v>174</v>
      </c>
      <c r="C17" s="9">
        <v>56</v>
      </c>
      <c r="D17" s="9">
        <v>15</v>
      </c>
      <c r="E17" s="9" t="s">
        <v>198</v>
      </c>
      <c r="F17" s="9" t="s">
        <v>26</v>
      </c>
      <c r="G17" s="9">
        <v>17.225999999999999</v>
      </c>
      <c r="H17" s="9">
        <v>3.1</v>
      </c>
      <c r="I17" s="9">
        <v>0.8</v>
      </c>
      <c r="J17" s="9">
        <v>22</v>
      </c>
      <c r="K17" s="9">
        <v>16</v>
      </c>
      <c r="L17" s="9">
        <v>36</v>
      </c>
      <c r="M17" s="9" t="s">
        <v>220</v>
      </c>
      <c r="N17">
        <v>0.99</v>
      </c>
    </row>
    <row r="18" spans="1:14" ht="15.6" x14ac:dyDescent="0.3">
      <c r="A18" s="9" t="s">
        <v>6</v>
      </c>
      <c r="B18" s="9" t="s">
        <v>174</v>
      </c>
      <c r="C18" s="9">
        <v>52.3</v>
      </c>
      <c r="D18" s="9">
        <v>10</v>
      </c>
      <c r="E18" s="9" t="s">
        <v>200</v>
      </c>
      <c r="F18" s="9" t="s">
        <v>25</v>
      </c>
      <c r="G18" s="9">
        <v>11.778</v>
      </c>
      <c r="H18" s="9">
        <v>3</v>
      </c>
      <c r="I18" s="9">
        <v>2.1</v>
      </c>
      <c r="J18" s="9">
        <v>23</v>
      </c>
      <c r="K18" s="9">
        <v>18</v>
      </c>
      <c r="L18" s="9">
        <v>25</v>
      </c>
      <c r="M18" s="9" t="s">
        <v>220</v>
      </c>
      <c r="N18">
        <v>0.78</v>
      </c>
    </row>
    <row r="19" spans="1:14" ht="15.6" x14ac:dyDescent="0.3">
      <c r="A19" s="9" t="s">
        <v>10</v>
      </c>
      <c r="B19" s="9" t="s">
        <v>174</v>
      </c>
      <c r="C19" s="9">
        <v>42.3</v>
      </c>
      <c r="D19" s="9">
        <v>20</v>
      </c>
      <c r="E19" s="9" t="s">
        <v>198</v>
      </c>
      <c r="F19" s="9" t="s">
        <v>27</v>
      </c>
      <c r="G19" s="9">
        <v>12</v>
      </c>
      <c r="H19" s="9">
        <v>3.5</v>
      </c>
      <c r="I19" s="9">
        <v>1</v>
      </c>
      <c r="J19" s="9">
        <v>28</v>
      </c>
      <c r="K19" s="9">
        <v>19</v>
      </c>
      <c r="L19" s="9">
        <v>81</v>
      </c>
      <c r="M19" s="9" t="s">
        <v>220</v>
      </c>
      <c r="N19">
        <v>1</v>
      </c>
    </row>
    <row r="20" spans="1:14" ht="15.6" x14ac:dyDescent="0.3">
      <c r="A20" s="9" t="s">
        <v>9</v>
      </c>
      <c r="B20" s="9" t="s">
        <v>174</v>
      </c>
      <c r="C20" s="9">
        <v>48.8</v>
      </c>
      <c r="D20" s="9">
        <v>3</v>
      </c>
      <c r="E20" s="9" t="s">
        <v>361</v>
      </c>
      <c r="F20" s="9" t="s">
        <v>25</v>
      </c>
      <c r="G20" s="9">
        <v>11.3</v>
      </c>
      <c r="H20" s="9">
        <v>2</v>
      </c>
      <c r="I20" s="9">
        <v>0.5</v>
      </c>
      <c r="J20" s="9">
        <v>25</v>
      </c>
      <c r="K20" s="9">
        <v>20</v>
      </c>
      <c r="L20" s="9">
        <v>25</v>
      </c>
      <c r="M20" s="9" t="s">
        <v>220</v>
      </c>
      <c r="N20">
        <v>1</v>
      </c>
    </row>
    <row r="21" spans="1:14" ht="15.6" x14ac:dyDescent="0.3">
      <c r="A21" s="9" t="s">
        <v>7</v>
      </c>
      <c r="B21" s="9" t="s">
        <v>174</v>
      </c>
      <c r="C21" s="9">
        <v>73.5</v>
      </c>
      <c r="D21" s="9">
        <v>6</v>
      </c>
      <c r="E21" s="9" t="s">
        <v>198</v>
      </c>
      <c r="F21" s="9" t="s">
        <v>27</v>
      </c>
      <c r="G21" s="9">
        <v>9.9</v>
      </c>
      <c r="H21" s="9">
        <v>2.4</v>
      </c>
      <c r="I21" s="9">
        <v>0.7</v>
      </c>
      <c r="J21" s="9">
        <v>7</v>
      </c>
      <c r="K21" s="9">
        <v>21</v>
      </c>
      <c r="L21" s="9">
        <v>196</v>
      </c>
      <c r="M21" s="9" t="s">
        <v>220</v>
      </c>
      <c r="N21">
        <v>1</v>
      </c>
    </row>
    <row r="22" spans="1:14" ht="15.6" x14ac:dyDescent="0.3">
      <c r="A22" s="9" t="s">
        <v>23</v>
      </c>
      <c r="B22" s="9" t="s">
        <v>174</v>
      </c>
      <c r="C22" s="9">
        <v>64.099999999999994</v>
      </c>
      <c r="D22" s="9">
        <v>18</v>
      </c>
      <c r="E22" s="9" t="s">
        <v>198</v>
      </c>
      <c r="F22" s="9" t="s">
        <v>27</v>
      </c>
      <c r="G22" s="9">
        <v>5.28</v>
      </c>
      <c r="H22" s="9">
        <v>1.7</v>
      </c>
      <c r="I22" s="9">
        <v>1.5</v>
      </c>
      <c r="J22" s="9">
        <v>18</v>
      </c>
      <c r="K22" s="9">
        <v>22</v>
      </c>
      <c r="L22" s="9">
        <v>16</v>
      </c>
      <c r="M22" s="9" t="s">
        <v>220</v>
      </c>
      <c r="N22">
        <v>0.55000000000000004</v>
      </c>
    </row>
    <row r="23" spans="1:14" ht="15.6" x14ac:dyDescent="0.3">
      <c r="A23" s="9" t="s">
        <v>22</v>
      </c>
      <c r="B23" s="9" t="s">
        <v>174</v>
      </c>
      <c r="C23" s="9">
        <v>73.8</v>
      </c>
      <c r="D23" s="9">
        <v>23</v>
      </c>
      <c r="E23" s="9" t="s">
        <v>198</v>
      </c>
      <c r="F23" s="9" t="s">
        <v>26</v>
      </c>
      <c r="G23" s="9">
        <v>7.35</v>
      </c>
      <c r="H23" s="9">
        <v>1.9</v>
      </c>
      <c r="I23" s="9">
        <v>4.7</v>
      </c>
      <c r="J23" s="9">
        <v>6</v>
      </c>
      <c r="K23" s="9">
        <v>23</v>
      </c>
      <c r="L23" s="9">
        <v>289</v>
      </c>
      <c r="M23" s="9" t="s">
        <v>220</v>
      </c>
      <c r="N23">
        <v>0.98</v>
      </c>
    </row>
    <row r="24" spans="1:14" ht="15.6" x14ac:dyDescent="0.3">
      <c r="A24" s="9" t="s">
        <v>12</v>
      </c>
      <c r="B24" s="9" t="s">
        <v>174</v>
      </c>
      <c r="C24" s="9">
        <v>68.8</v>
      </c>
      <c r="D24" s="9">
        <v>5</v>
      </c>
      <c r="E24" s="9" t="s">
        <v>198</v>
      </c>
      <c r="F24" s="9" t="s">
        <v>26</v>
      </c>
      <c r="G24" s="9">
        <v>6.2</v>
      </c>
      <c r="H24" s="9">
        <v>2.2000000000000002</v>
      </c>
      <c r="I24" s="9">
        <v>0.2</v>
      </c>
      <c r="J24" s="9">
        <v>13</v>
      </c>
      <c r="K24" s="9">
        <v>24</v>
      </c>
      <c r="L24" s="9">
        <v>121</v>
      </c>
      <c r="M24" s="9" t="s">
        <v>220</v>
      </c>
      <c r="N24">
        <v>1</v>
      </c>
    </row>
    <row r="25" spans="1:14" ht="15.6" x14ac:dyDescent="0.3">
      <c r="A25" s="9" t="s">
        <v>128</v>
      </c>
      <c r="B25" s="9" t="s">
        <v>174</v>
      </c>
      <c r="C25" s="9">
        <v>72.599999999999994</v>
      </c>
      <c r="D25" s="9">
        <v>5</v>
      </c>
      <c r="E25" s="9" t="s">
        <v>198</v>
      </c>
      <c r="F25" s="9" t="s">
        <v>281</v>
      </c>
      <c r="G25" s="9">
        <v>5.4450000000000003</v>
      </c>
      <c r="H25" s="9">
        <v>5.0999999999999996</v>
      </c>
      <c r="I25" s="9">
        <v>1.5</v>
      </c>
      <c r="J25" s="9">
        <v>9</v>
      </c>
      <c r="K25" s="9">
        <v>25</v>
      </c>
      <c r="L25" s="9">
        <v>256</v>
      </c>
      <c r="M25" s="9" t="s">
        <v>220</v>
      </c>
      <c r="N25">
        <v>0.9900000000000001</v>
      </c>
    </row>
    <row r="26" spans="1:14" ht="15.6" x14ac:dyDescent="0.3">
      <c r="A26" s="9" t="s">
        <v>1</v>
      </c>
      <c r="B26" s="9" t="s">
        <v>174</v>
      </c>
      <c r="C26" s="9">
        <v>49.9</v>
      </c>
      <c r="D26" s="9">
        <v>12</v>
      </c>
      <c r="E26" s="9" t="s">
        <v>198</v>
      </c>
      <c r="F26" s="9" t="s">
        <v>281</v>
      </c>
      <c r="G26" s="9">
        <v>4.4879999999999995</v>
      </c>
      <c r="H26" s="9">
        <v>9.8000000000000007</v>
      </c>
      <c r="I26" s="9">
        <v>1.9</v>
      </c>
      <c r="J26" s="9">
        <v>24</v>
      </c>
      <c r="K26" s="9">
        <v>26</v>
      </c>
      <c r="L26" s="9">
        <v>4</v>
      </c>
      <c r="M26" s="9" t="s">
        <v>220</v>
      </c>
      <c r="N26">
        <v>0.88</v>
      </c>
    </row>
    <row r="27" spans="1:14" ht="15.6" x14ac:dyDescent="0.3">
      <c r="A27" s="9" t="s">
        <v>126</v>
      </c>
      <c r="B27" s="9" t="s">
        <v>174</v>
      </c>
      <c r="C27" s="9">
        <v>45.5</v>
      </c>
      <c r="D27" s="9">
        <v>9</v>
      </c>
      <c r="E27" s="9" t="s">
        <v>198</v>
      </c>
      <c r="F27" s="9" t="s">
        <v>281</v>
      </c>
      <c r="G27" s="9">
        <v>4.2</v>
      </c>
      <c r="H27" s="9">
        <v>4.7</v>
      </c>
      <c r="I27" s="9">
        <v>1.1000000000000001</v>
      </c>
      <c r="J27" s="9">
        <v>26</v>
      </c>
      <c r="K27" s="9">
        <v>27</v>
      </c>
      <c r="L27" s="9">
        <v>1</v>
      </c>
      <c r="M27" s="9" t="s">
        <v>220</v>
      </c>
      <c r="N27">
        <v>1</v>
      </c>
    </row>
    <row r="28" spans="1:14" ht="15.6" x14ac:dyDescent="0.3">
      <c r="A28" s="9" t="s">
        <v>3</v>
      </c>
      <c r="B28" s="9" t="s">
        <v>174</v>
      </c>
      <c r="C28" s="9">
        <v>70.5</v>
      </c>
      <c r="D28" s="9">
        <v>16</v>
      </c>
      <c r="E28" s="9" t="s">
        <v>200</v>
      </c>
      <c r="F28" s="9" t="s">
        <v>27</v>
      </c>
      <c r="G28" s="9">
        <v>3.1680000000000001</v>
      </c>
      <c r="H28" s="9">
        <v>2.2999999999999998</v>
      </c>
      <c r="I28" s="9">
        <v>0.8</v>
      </c>
      <c r="J28" s="9">
        <v>12</v>
      </c>
      <c r="K28" s="9">
        <v>28</v>
      </c>
      <c r="L28" s="9">
        <v>256</v>
      </c>
      <c r="M28" s="9" t="s">
        <v>220</v>
      </c>
      <c r="N28">
        <v>0.99</v>
      </c>
    </row>
    <row r="29" spans="1:14" ht="15.6" x14ac:dyDescent="0.3">
      <c r="A29" s="9" t="s">
        <v>15</v>
      </c>
      <c r="B29" s="9" t="s">
        <v>174</v>
      </c>
      <c r="C29" s="9">
        <v>59.6</v>
      </c>
      <c r="D29" s="9">
        <v>12</v>
      </c>
      <c r="E29" s="9" t="s">
        <v>198</v>
      </c>
      <c r="F29" s="9" t="s">
        <v>25</v>
      </c>
      <c r="G29" s="9">
        <v>0.8</v>
      </c>
      <c r="H29" s="9">
        <v>5.3</v>
      </c>
      <c r="I29" s="9">
        <v>0.5</v>
      </c>
      <c r="J29" s="9">
        <v>21</v>
      </c>
      <c r="K29" s="9">
        <v>29</v>
      </c>
      <c r="L29" s="9">
        <v>64</v>
      </c>
      <c r="M29" s="9" t="s">
        <v>220</v>
      </c>
      <c r="N29">
        <v>1</v>
      </c>
    </row>
    <row r="31" spans="1:14" ht="15.6" x14ac:dyDescent="0.3">
      <c r="A31" s="16" t="s">
        <v>207</v>
      </c>
      <c r="B31" s="16"/>
      <c r="C31" s="16">
        <f>AVERAGE(C2:C29)</f>
        <v>65.467857142857127</v>
      </c>
      <c r="D31" s="16"/>
      <c r="E31" s="16"/>
      <c r="F31" s="16"/>
      <c r="G31" s="16">
        <f>AVERAGE(G2:G29)</f>
        <v>23.747642857142861</v>
      </c>
      <c r="H31" s="16"/>
      <c r="I31" s="16"/>
      <c r="J31" s="16"/>
      <c r="K31" s="16" t="s">
        <v>213</v>
      </c>
      <c r="L31" s="16">
        <f>SUM(L2:L29)</f>
        <v>2369</v>
      </c>
    </row>
    <row r="32" spans="1:14" ht="15.6" x14ac:dyDescent="0.3">
      <c r="A32" s="16" t="s">
        <v>208</v>
      </c>
      <c r="B32" s="16"/>
      <c r="C32" s="16">
        <f>_xlfn.VAR.P(C2:C29)</f>
        <v>140.84789540816385</v>
      </c>
      <c r="D32" s="16"/>
      <c r="E32" s="16"/>
      <c r="F32" s="16"/>
      <c r="G32" s="16">
        <f>_xlfn.VAR.P(G2:G29)</f>
        <v>308.9052529438772</v>
      </c>
      <c r="H32" s="16"/>
      <c r="I32" s="16"/>
      <c r="J32" s="16"/>
      <c r="K32" s="16" t="s">
        <v>131</v>
      </c>
      <c r="L32" s="16">
        <v>28</v>
      </c>
      <c r="M32" s="16"/>
      <c r="N32" s="16"/>
    </row>
    <row r="33" spans="1:14" ht="15.6" x14ac:dyDescent="0.3">
      <c r="A33" s="16"/>
      <c r="B33" s="16"/>
      <c r="C33" s="16"/>
      <c r="D33" s="16"/>
      <c r="E33" s="16"/>
      <c r="F33" s="16"/>
      <c r="G33" s="16"/>
      <c r="H33" s="16"/>
      <c r="I33" s="16"/>
      <c r="J33" s="16"/>
      <c r="K33" s="16" t="s">
        <v>214</v>
      </c>
      <c r="L33" s="16">
        <f>1-((6*L31)/(L32*(L32*L32-1)))</f>
        <v>0.35166940339354136</v>
      </c>
      <c r="M33" s="16"/>
      <c r="N33" s="16"/>
    </row>
    <row r="34" spans="1:14" ht="15.6" x14ac:dyDescent="0.3">
      <c r="A34" s="16" t="s">
        <v>209</v>
      </c>
      <c r="B34" s="16"/>
      <c r="C34" s="16">
        <f>_xlfn.COVARIANCE.P(C2:C29,G2:G29)</f>
        <v>92.115867091836748</v>
      </c>
      <c r="D34" s="16"/>
      <c r="E34" s="16"/>
      <c r="F34" s="16"/>
      <c r="G34" s="16"/>
      <c r="H34" s="16"/>
      <c r="I34" s="16"/>
      <c r="J34" s="16"/>
      <c r="K34" s="16"/>
      <c r="L34" s="16"/>
      <c r="M34" s="16"/>
      <c r="N34" s="16"/>
    </row>
    <row r="35" spans="1:14" ht="15.6" x14ac:dyDescent="0.3">
      <c r="A35" s="16" t="s">
        <v>215</v>
      </c>
      <c r="B35" s="16"/>
      <c r="C35" s="16">
        <f>C34/SQRT(C32*G32)</f>
        <v>0.4416178476037147</v>
      </c>
      <c r="D35" s="16"/>
      <c r="E35" s="16"/>
      <c r="F35" s="16"/>
      <c r="G35" s="16"/>
      <c r="H35" s="16"/>
      <c r="I35" s="16"/>
      <c r="J35" s="16"/>
      <c r="K35" s="16"/>
      <c r="L35" s="16"/>
      <c r="M35" s="16"/>
      <c r="N35" s="16"/>
    </row>
  </sheetData>
  <phoneticPr fontId="5"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C01E-D5A1-4F46-95BC-8183C065E0FF}">
  <dimension ref="A1:BS61"/>
  <sheetViews>
    <sheetView zoomScale="70" zoomScaleNormal="70" workbookViewId="0">
      <selection activeCell="BQ5" sqref="BQ5"/>
    </sheetView>
  </sheetViews>
  <sheetFormatPr defaultRowHeight="14.4" x14ac:dyDescent="0.3"/>
  <cols>
    <col min="1" max="1" width="31.44140625" customWidth="1"/>
    <col min="2" max="2" width="15.6640625" customWidth="1"/>
    <col min="3" max="3" width="10.6640625" customWidth="1"/>
    <col min="4" max="4" width="9.77734375" customWidth="1"/>
    <col min="5" max="5" width="9.88671875" customWidth="1"/>
    <col min="6" max="7" width="9.6640625" customWidth="1"/>
    <col min="8" max="8" width="11" customWidth="1"/>
    <col min="9" max="9" width="9.6640625" customWidth="1"/>
    <col min="10" max="10" width="9.88671875" customWidth="1"/>
    <col min="11" max="11" width="10.88671875" customWidth="1"/>
    <col min="12" max="12" width="8.33203125" customWidth="1"/>
    <col min="13" max="13" width="8.21875" customWidth="1"/>
    <col min="14" max="14" width="9.77734375" customWidth="1"/>
    <col min="15" max="15" width="9.44140625" customWidth="1"/>
    <col min="16" max="16" width="9.6640625" customWidth="1"/>
    <col min="17" max="17" width="9.5546875" customWidth="1"/>
    <col min="18" max="18" width="9.88671875" customWidth="1"/>
    <col min="19" max="19" width="10" customWidth="1"/>
    <col min="20" max="20" width="9.77734375" customWidth="1"/>
    <col min="21" max="21" width="9.88671875" style="14" customWidth="1"/>
    <col min="22" max="22" width="13.44140625" customWidth="1"/>
    <col min="23" max="23" width="11.109375" customWidth="1"/>
    <col min="24" max="24" width="10.5546875" customWidth="1"/>
    <col min="25" max="25" width="11.77734375" customWidth="1"/>
    <col min="26" max="26" width="15.109375" customWidth="1"/>
    <col min="27" max="27" width="12.21875" customWidth="1"/>
    <col min="28" max="28" width="11.109375" customWidth="1"/>
    <col min="29" max="29" width="12.21875" customWidth="1"/>
    <col min="30" max="30" width="12.88671875" customWidth="1"/>
    <col min="31" max="38" width="8.88671875" customWidth="1"/>
    <col min="39" max="39" width="10.77734375" customWidth="1"/>
    <col min="40" max="40" width="21.5546875" customWidth="1"/>
    <col min="41" max="41" width="9.77734375" customWidth="1"/>
    <col min="42" max="44" width="9" customWidth="1"/>
    <col min="45" max="46" width="8.88671875" customWidth="1"/>
    <col min="47" max="47" width="15.21875" customWidth="1"/>
    <col min="48" max="48" width="10.5546875" customWidth="1"/>
    <col min="49" max="49" width="10.77734375" customWidth="1"/>
    <col min="50" max="50" width="11" customWidth="1"/>
    <col min="51" max="51" width="16.33203125" customWidth="1"/>
    <col min="52" max="52" width="15.21875" customWidth="1"/>
    <col min="53" max="53" width="27.21875" customWidth="1"/>
    <col min="54" max="54" width="23.77734375" customWidth="1"/>
    <col min="55" max="55" width="15.21875" customWidth="1"/>
    <col min="56" max="56" width="14.109375" customWidth="1"/>
    <col min="57" max="57" width="16.33203125" customWidth="1"/>
    <col min="58" max="58" width="20.5546875" customWidth="1"/>
    <col min="59" max="59" width="12.33203125" customWidth="1"/>
    <col min="60" max="60" width="15.6640625" customWidth="1"/>
    <col min="61" max="61" width="13.21875" customWidth="1"/>
    <col min="62" max="62" width="16.21875" customWidth="1"/>
    <col min="63" max="63" width="18.21875" customWidth="1"/>
    <col min="64" max="64" width="14.77734375" customWidth="1"/>
    <col min="65" max="65" width="17.88671875" customWidth="1"/>
    <col min="66" max="66" width="16.5546875" customWidth="1"/>
    <col min="67" max="67" width="25" customWidth="1"/>
    <col min="68" max="68" width="19.21875" customWidth="1"/>
    <col min="69" max="69" width="39.5546875" customWidth="1"/>
    <col min="70" max="70" width="38.77734375" customWidth="1"/>
    <col min="71" max="71" width="48.77734375" customWidth="1"/>
  </cols>
  <sheetData>
    <row r="1" spans="1:71" x14ac:dyDescent="0.3">
      <c r="A1" s="7" t="s">
        <v>60</v>
      </c>
      <c r="B1" s="7" t="s">
        <v>132</v>
      </c>
      <c r="C1" s="7" t="s">
        <v>133</v>
      </c>
      <c r="D1" s="7" t="s">
        <v>134</v>
      </c>
      <c r="E1" s="7" t="s">
        <v>135</v>
      </c>
      <c r="F1" s="7" t="s">
        <v>136</v>
      </c>
      <c r="G1" s="7" t="s">
        <v>137</v>
      </c>
      <c r="H1" s="7" t="s">
        <v>138</v>
      </c>
      <c r="I1" s="7" t="s">
        <v>139</v>
      </c>
      <c r="J1" s="7" t="s">
        <v>140</v>
      </c>
      <c r="K1" s="7" t="s">
        <v>141</v>
      </c>
      <c r="L1" s="7" t="s">
        <v>142</v>
      </c>
      <c r="M1" s="7" t="s">
        <v>143</v>
      </c>
      <c r="N1" s="7" t="s">
        <v>144</v>
      </c>
      <c r="O1" s="7" t="s">
        <v>145</v>
      </c>
      <c r="P1" s="7" t="s">
        <v>151</v>
      </c>
      <c r="Q1" s="7" t="s">
        <v>152</v>
      </c>
      <c r="R1" s="7" t="s">
        <v>153</v>
      </c>
      <c r="S1" s="7" t="s">
        <v>146</v>
      </c>
      <c r="T1" s="7" t="s">
        <v>147</v>
      </c>
      <c r="U1" s="15" t="s">
        <v>154</v>
      </c>
      <c r="V1" s="7" t="s">
        <v>155</v>
      </c>
      <c r="W1" s="7" t="s">
        <v>156</v>
      </c>
      <c r="X1" s="7" t="s">
        <v>157</v>
      </c>
      <c r="Y1" s="7" t="s">
        <v>158</v>
      </c>
      <c r="Z1" s="7" t="s">
        <v>159</v>
      </c>
      <c r="AA1" s="7" t="s">
        <v>160</v>
      </c>
      <c r="AB1" s="7" t="s">
        <v>161</v>
      </c>
      <c r="AC1" s="7" t="s">
        <v>162</v>
      </c>
      <c r="AD1" s="7" t="s">
        <v>163</v>
      </c>
      <c r="AE1" s="7" t="s">
        <v>164</v>
      </c>
      <c r="AF1" s="7" t="s">
        <v>165</v>
      </c>
      <c r="AG1" s="7" t="s">
        <v>166</v>
      </c>
      <c r="AH1" s="7" t="s">
        <v>167</v>
      </c>
      <c r="AI1" s="7" t="s">
        <v>168</v>
      </c>
      <c r="AJ1" s="7" t="s">
        <v>169</v>
      </c>
      <c r="AK1" s="7" t="s">
        <v>170</v>
      </c>
      <c r="AL1" s="7" t="s">
        <v>171</v>
      </c>
      <c r="AM1" s="7" t="s">
        <v>172</v>
      </c>
      <c r="AN1" s="7" t="s">
        <v>173</v>
      </c>
      <c r="AO1" s="7" t="s">
        <v>176</v>
      </c>
      <c r="AP1" s="7" t="s">
        <v>177</v>
      </c>
      <c r="AQ1" s="7" t="s">
        <v>178</v>
      </c>
      <c r="AR1" s="7" t="s">
        <v>179</v>
      </c>
      <c r="AS1" s="7" t="s">
        <v>180</v>
      </c>
      <c r="AT1" s="7" t="s">
        <v>181</v>
      </c>
      <c r="AU1" s="7" t="s">
        <v>199</v>
      </c>
      <c r="AV1" s="7" t="s">
        <v>193</v>
      </c>
      <c r="AW1" s="7" t="s">
        <v>194</v>
      </c>
      <c r="AX1" s="7" t="s">
        <v>195</v>
      </c>
      <c r="AY1" s="7" t="s">
        <v>196</v>
      </c>
      <c r="AZ1" s="7" t="s">
        <v>197</v>
      </c>
      <c r="BA1" s="7" t="s">
        <v>201</v>
      </c>
      <c r="BB1" s="7" t="s">
        <v>203</v>
      </c>
      <c r="BC1" s="7" t="s">
        <v>202</v>
      </c>
      <c r="BD1" s="7" t="s">
        <v>204</v>
      </c>
      <c r="BE1" s="7" t="s">
        <v>205</v>
      </c>
      <c r="BF1" s="7" t="s">
        <v>206</v>
      </c>
      <c r="BG1" s="7" t="s">
        <v>217</v>
      </c>
      <c r="BH1" s="7" t="s">
        <v>218</v>
      </c>
      <c r="BI1" s="7" t="s">
        <v>219</v>
      </c>
      <c r="BJ1" s="7" t="s">
        <v>383</v>
      </c>
      <c r="BK1" s="7" t="s">
        <v>301</v>
      </c>
      <c r="BL1" s="7" t="s">
        <v>302</v>
      </c>
      <c r="BM1" s="7" t="s">
        <v>37</v>
      </c>
      <c r="BN1" s="7" t="s">
        <v>303</v>
      </c>
      <c r="BO1" s="7" t="s">
        <v>304</v>
      </c>
      <c r="BP1" s="7" t="s">
        <v>61</v>
      </c>
      <c r="BQ1" s="7" t="s">
        <v>305</v>
      </c>
      <c r="BR1" s="7" t="s">
        <v>381</v>
      </c>
      <c r="BS1" s="7" t="s">
        <v>382</v>
      </c>
    </row>
    <row r="2" spans="1:71" ht="31.8" customHeight="1" x14ac:dyDescent="0.3">
      <c r="A2" s="4" t="s">
        <v>148</v>
      </c>
      <c r="B2" s="10">
        <v>8</v>
      </c>
      <c r="C2" s="10">
        <v>10</v>
      </c>
      <c r="D2" s="10">
        <v>8</v>
      </c>
      <c r="E2" s="10">
        <v>8</v>
      </c>
      <c r="F2" s="10">
        <v>9</v>
      </c>
      <c r="G2" s="10">
        <v>9</v>
      </c>
      <c r="H2" s="10">
        <v>10</v>
      </c>
      <c r="I2" s="10">
        <v>10</v>
      </c>
      <c r="J2" s="10">
        <v>10</v>
      </c>
      <c r="K2" s="10">
        <v>10</v>
      </c>
      <c r="L2" s="10">
        <f>(C2+E2+F2+G2)/4</f>
        <v>9</v>
      </c>
      <c r="M2" s="10">
        <f>(B2+H2)/2</f>
        <v>9</v>
      </c>
      <c r="N2" s="10">
        <f>(D2+I2+J2+K2)/4</f>
        <v>9.5</v>
      </c>
      <c r="O2" s="10">
        <f>(D2+G2)/2</f>
        <v>8.5</v>
      </c>
      <c r="P2" s="10">
        <f>ROUND((1/3)*(C2+D2+F2),1)</f>
        <v>9</v>
      </c>
      <c r="Q2" s="10">
        <f>ROUND((1/4)*(E2+H2+J2+K2),1)</f>
        <v>9.5</v>
      </c>
      <c r="R2" s="10">
        <f>S2-10*MIN(P2,Q2,B2)</f>
        <v>8.2999999999999972</v>
      </c>
      <c r="S2" s="10">
        <f>ROUND(0.5*(10/3)*(L2+M2+N2)+(1-0.5)*10*MIN(L2,M2,N2,O2),1)</f>
        <v>88.3</v>
      </c>
      <c r="T2" s="10">
        <f>ROUND((10/3)*(L2+M2+N2) - 10*MIN(L2,M2,N2,O2),0)</f>
        <v>7</v>
      </c>
      <c r="U2" s="11">
        <v>8</v>
      </c>
      <c r="V2" s="10">
        <v>10</v>
      </c>
      <c r="W2" s="10">
        <v>8</v>
      </c>
      <c r="X2" s="10">
        <v>8</v>
      </c>
      <c r="Y2" s="10">
        <v>8</v>
      </c>
      <c r="Z2" s="10">
        <v>9</v>
      </c>
      <c r="AA2" s="10">
        <v>10</v>
      </c>
      <c r="AB2" s="10">
        <v>10</v>
      </c>
      <c r="AC2" s="10">
        <v>10</v>
      </c>
      <c r="AD2" s="10">
        <v>10</v>
      </c>
      <c r="AE2" s="10">
        <f>(V2+X2+Y2+Z2)/4</f>
        <v>8.75</v>
      </c>
      <c r="AF2" s="10">
        <f>(U2+AA2)/2</f>
        <v>9</v>
      </c>
      <c r="AG2" s="10">
        <f>(W2+AB2+AC2+AD2)/4</f>
        <v>9.5</v>
      </c>
      <c r="AH2" s="10">
        <f>(W2+Z2)/2</f>
        <v>8.5</v>
      </c>
      <c r="AI2" s="10">
        <f>ROUND((V2+W2+Y2)/3,1)</f>
        <v>8.6999999999999993</v>
      </c>
      <c r="AJ2" s="10">
        <f>ROUND((X2+AA2+AC2+AD2)/4,1)</f>
        <v>9.5</v>
      </c>
      <c r="AK2" s="10">
        <f>AL2-10*MIN(AI2,AJ2,AF2)</f>
        <v>0.90000000000000568</v>
      </c>
      <c r="AL2" s="10">
        <f>ROUND(0.5*(10/3)*(AE2+AF2+AG2)+(1-0.5)*10*MIN(AE2,AF2,AG2,AH2),1)</f>
        <v>87.9</v>
      </c>
      <c r="AM2" s="10">
        <f>ROUND((10/3)*(AE2+AF2+AG2)-10*MIN(AE2,AF2,AG2,AH2),0)</f>
        <v>6</v>
      </c>
      <c r="AN2" s="10" t="s">
        <v>175</v>
      </c>
      <c r="AO2" s="10">
        <f>(V2+X2+Y2+Z2+C2+E2+F2+G2)/8</f>
        <v>8.875</v>
      </c>
      <c r="AP2" s="10">
        <f>(B2+H2+U2+AA2)/4</f>
        <v>9</v>
      </c>
      <c r="AQ2" s="10">
        <f>(W2+AB2+AC2+AD2+D2+I2+J2+K2)/8</f>
        <v>9.5</v>
      </c>
      <c r="AR2" s="10">
        <f>(D2+W2+G2+Z2)/4</f>
        <v>8.5</v>
      </c>
      <c r="AS2" s="10">
        <f>ROUND(0.5*(10/3)*(AO2+AP2+AQ2)+(1-0.5)*10*MIN(AO2,AP2,AQ2,AR2),1)</f>
        <v>88.1</v>
      </c>
      <c r="AT2" s="10">
        <f>ROUND((10/3)*(AO2+AP2+AQ2)-10*MIN(AO2,AP2,AQ2,AR2),0)</f>
        <v>6</v>
      </c>
      <c r="AU2" s="10">
        <v>590</v>
      </c>
      <c r="AV2" s="10">
        <v>1</v>
      </c>
      <c r="AW2" s="10">
        <v>0</v>
      </c>
      <c r="AX2" s="10">
        <v>0</v>
      </c>
      <c r="AY2" s="17">
        <v>46023</v>
      </c>
      <c r="AZ2" s="10" t="s">
        <v>198</v>
      </c>
      <c r="BA2" s="10" t="s">
        <v>27</v>
      </c>
      <c r="BB2" s="17">
        <v>46120</v>
      </c>
      <c r="BC2" s="10">
        <f>BB2-AY2</f>
        <v>97</v>
      </c>
      <c r="BD2" s="10">
        <f>ROUND(AV2/BC2,1)</f>
        <v>0</v>
      </c>
      <c r="BE2" s="10">
        <f>ROUND(100*AW2/AV2,1)</f>
        <v>0</v>
      </c>
      <c r="BF2" s="8">
        <f>ROUND(100*AX2/AV2,1)</f>
        <v>0</v>
      </c>
      <c r="BG2" s="10">
        <f>LOOKUP(BC2,$A$47:$A$61,$B$47:$B$61)</f>
        <v>0.65</v>
      </c>
      <c r="BH2" s="10"/>
      <c r="BI2" s="10"/>
      <c r="BJ2" s="10">
        <f>BD2*BG2</f>
        <v>0</v>
      </c>
      <c r="BK2" s="10" t="s">
        <v>231</v>
      </c>
      <c r="BL2" s="3" t="s">
        <v>384</v>
      </c>
      <c r="BM2" s="3" t="s">
        <v>385</v>
      </c>
      <c r="BN2" s="3" t="s">
        <v>386</v>
      </c>
      <c r="BO2" s="3" t="s">
        <v>387</v>
      </c>
      <c r="BP2" s="10" t="s">
        <v>222</v>
      </c>
      <c r="BQ2" s="3" t="s">
        <v>388</v>
      </c>
      <c r="BR2" s="4" t="s">
        <v>62</v>
      </c>
      <c r="BS2" s="19" t="s">
        <v>389</v>
      </c>
    </row>
    <row r="3" spans="1:71" ht="31.8" customHeight="1" x14ac:dyDescent="0.3">
      <c r="A3" s="4" t="s">
        <v>24</v>
      </c>
      <c r="B3" s="10">
        <v>8</v>
      </c>
      <c r="C3" s="10">
        <v>10</v>
      </c>
      <c r="D3" s="10">
        <v>8</v>
      </c>
      <c r="E3" s="10">
        <v>8.5</v>
      </c>
      <c r="F3" s="10">
        <v>9</v>
      </c>
      <c r="G3" s="10">
        <v>9</v>
      </c>
      <c r="H3" s="10">
        <v>10</v>
      </c>
      <c r="I3" s="10">
        <v>10</v>
      </c>
      <c r="J3" s="10">
        <v>10</v>
      </c>
      <c r="K3" s="10">
        <v>10</v>
      </c>
      <c r="L3" s="10">
        <f>(C3+E3+F3+G3)/4</f>
        <v>9.125</v>
      </c>
      <c r="M3" s="10">
        <f>(B3+H3)/2</f>
        <v>9</v>
      </c>
      <c r="N3" s="10">
        <f>(D3+I3+J3+K3)/4</f>
        <v>9.5</v>
      </c>
      <c r="O3" s="10">
        <f>(D3+G3)/2</f>
        <v>8.5</v>
      </c>
      <c r="P3" s="10">
        <f>ROUND((1/3)*(C3+D3+F3),1)</f>
        <v>9</v>
      </c>
      <c r="Q3" s="10">
        <f>ROUND((1/4)*(E3+H3+J3+K3),1)</f>
        <v>9.6</v>
      </c>
      <c r="R3" s="10">
        <f>S3-10*MIN(P3,Q3,B3)</f>
        <v>8.5</v>
      </c>
      <c r="S3" s="10">
        <f>ROUND(0.5*(10/3)*(L3+M3+N3)+(1-0.5)*10*MIN(L3,M3,N3,O3),1)</f>
        <v>88.5</v>
      </c>
      <c r="T3" s="10">
        <f>ROUND((10/3)*(L3+M3+N3) - 10*MIN(L3,M3,N3,O3),0)</f>
        <v>7</v>
      </c>
      <c r="U3" s="11">
        <v>8</v>
      </c>
      <c r="V3" s="10">
        <v>9</v>
      </c>
      <c r="W3" s="10">
        <v>8</v>
      </c>
      <c r="X3" s="10">
        <v>8.5</v>
      </c>
      <c r="Y3" s="10">
        <v>8</v>
      </c>
      <c r="Z3" s="10">
        <v>9</v>
      </c>
      <c r="AA3" s="10">
        <v>10</v>
      </c>
      <c r="AB3" s="10">
        <v>10</v>
      </c>
      <c r="AC3" s="10">
        <v>10</v>
      </c>
      <c r="AD3" s="10">
        <v>9</v>
      </c>
      <c r="AE3" s="10">
        <f>(V3+X3+Y3+Z3)/4</f>
        <v>8.625</v>
      </c>
      <c r="AF3" s="10">
        <f>(U3+AA3)/2</f>
        <v>9</v>
      </c>
      <c r="AG3" s="10">
        <f>(W3+AB3+AC3+AD3)/4</f>
        <v>9.25</v>
      </c>
      <c r="AH3" s="10">
        <f>(W3+Z3)/2</f>
        <v>8.5</v>
      </c>
      <c r="AI3" s="10">
        <f>ROUND((V3+W3+Y3)/3,1)</f>
        <v>8.3000000000000007</v>
      </c>
      <c r="AJ3" s="10">
        <f>ROUND((X3+AA3+AC3+AD3)/4,1)</f>
        <v>9.4</v>
      </c>
      <c r="AK3" s="10">
        <f>AL3-10*MIN(AI3,AJ3,AF3)</f>
        <v>4.2999999999999972</v>
      </c>
      <c r="AL3" s="10">
        <f>ROUND(0.5*(10/3)*(AE3+AF3+AG3)+(1-0.5)*10*MIN(AE3,AF3,AG3,AH3),1)</f>
        <v>87.3</v>
      </c>
      <c r="AM3" s="10">
        <f>ROUND((10/3)*(AE3+AF3+AG3)-10*MIN(AE3,AF3,AG3,AH3),0)</f>
        <v>5</v>
      </c>
      <c r="AN3" s="10" t="s">
        <v>174</v>
      </c>
      <c r="AO3" s="10">
        <f>(V3+X3+Y3+Z3+C3+E3+F3+G3)/8</f>
        <v>8.875</v>
      </c>
      <c r="AP3" s="10">
        <f>(B3+H3+U3+AA3)/4</f>
        <v>9</v>
      </c>
      <c r="AQ3" s="10">
        <f>(W3+AB3+AC3+AD3+D3+I3+J3+K3)/8</f>
        <v>9.375</v>
      </c>
      <c r="AR3" s="10">
        <f>(D3+W3+G3+Z3)/4</f>
        <v>8.5</v>
      </c>
      <c r="AS3" s="10">
        <f>ROUND(0.5*(10/3)*(AO3+AP3+AQ3)+(1-0.5)*10*MIN(AO3,AP3,AQ3,AR3),1)</f>
        <v>87.9</v>
      </c>
      <c r="AT3" s="10">
        <f>ROUND((10/3)*(AO3+AP3+AQ3)-10*MIN(AO3,AP3,AQ3,AR3),0)</f>
        <v>6</v>
      </c>
      <c r="AU3" s="10">
        <v>360</v>
      </c>
      <c r="AV3" s="10">
        <v>9138</v>
      </c>
      <c r="AW3" s="10">
        <v>106</v>
      </c>
      <c r="AX3" s="10">
        <v>281</v>
      </c>
      <c r="AY3" s="17">
        <v>45964</v>
      </c>
      <c r="AZ3" s="10" t="s">
        <v>198</v>
      </c>
      <c r="BA3" s="10" t="s">
        <v>25</v>
      </c>
      <c r="BB3" s="17">
        <v>46121</v>
      </c>
      <c r="BC3" s="10">
        <f>BB3-AY3</f>
        <v>157</v>
      </c>
      <c r="BD3" s="10">
        <f>ROUND(AV3/BC3,1)</f>
        <v>58.2</v>
      </c>
      <c r="BE3" s="10">
        <f>ROUND(100*AW3/AV3,1)</f>
        <v>1.2</v>
      </c>
      <c r="BF3" s="10">
        <f>ROUND(100*AX3/AV3,1)</f>
        <v>3.1</v>
      </c>
      <c r="BG3" s="10">
        <f>LOOKUP(BC3,$A$47:$A$61,$B$47:$B$61)</f>
        <v>0.74</v>
      </c>
      <c r="BH3" s="10">
        <v>68</v>
      </c>
      <c r="BI3" s="10" t="s">
        <v>220</v>
      </c>
      <c r="BJ3" s="10">
        <f>BD3*BG3</f>
        <v>43.068000000000005</v>
      </c>
      <c r="BK3" s="10" t="s">
        <v>231</v>
      </c>
      <c r="BL3" s="3" t="s">
        <v>323</v>
      </c>
      <c r="BM3" s="3" t="s">
        <v>336</v>
      </c>
      <c r="BN3" s="3" t="s">
        <v>232</v>
      </c>
      <c r="BO3" s="3" t="s">
        <v>306</v>
      </c>
      <c r="BP3" s="10" t="s">
        <v>222</v>
      </c>
      <c r="BQ3" s="3" t="s">
        <v>271</v>
      </c>
      <c r="BR3" s="4" t="s">
        <v>62</v>
      </c>
      <c r="BS3" s="19" t="s">
        <v>70</v>
      </c>
    </row>
    <row r="4" spans="1:71" ht="42.6" customHeight="1" x14ac:dyDescent="0.3">
      <c r="A4" s="4" t="s">
        <v>2</v>
      </c>
      <c r="B4" s="10">
        <v>9</v>
      </c>
      <c r="C4" s="10">
        <v>9</v>
      </c>
      <c r="D4" s="10">
        <v>9</v>
      </c>
      <c r="E4" s="10">
        <v>9</v>
      </c>
      <c r="F4" s="10">
        <v>8</v>
      </c>
      <c r="G4" s="10">
        <v>8</v>
      </c>
      <c r="H4" s="10">
        <v>8</v>
      </c>
      <c r="I4" s="10">
        <v>9</v>
      </c>
      <c r="J4" s="10">
        <v>9</v>
      </c>
      <c r="K4" s="10">
        <v>8</v>
      </c>
      <c r="L4" s="10">
        <f>(C4+E4+F4+G4)/4</f>
        <v>8.5</v>
      </c>
      <c r="M4" s="10">
        <f>(B4+H4)/2</f>
        <v>8.5</v>
      </c>
      <c r="N4" s="10">
        <f>(D4+I4+J4+K4)/4</f>
        <v>8.75</v>
      </c>
      <c r="O4" s="10">
        <f>(D4+G4)/2</f>
        <v>8.5</v>
      </c>
      <c r="P4" s="10">
        <f>ROUND((1/3)*(C4+D4+F4),1)</f>
        <v>8.6999999999999993</v>
      </c>
      <c r="Q4" s="10">
        <f>ROUND((1/4)*(E4+H4+J4+K4),1)</f>
        <v>8.5</v>
      </c>
      <c r="R4" s="10">
        <f>S4-10*MIN(P4,Q4,B4)</f>
        <v>0.40000000000000568</v>
      </c>
      <c r="S4" s="10">
        <f>ROUND(0.5*(10/3)*(L4+M4+N4)+(1-0.5)*10*MIN(L4,M4,N4,O4),1)</f>
        <v>85.4</v>
      </c>
      <c r="T4" s="10">
        <f>ROUND((10/3)*(L4+M4+N4) - 10*MIN(L4,M4,N4,O4),0)</f>
        <v>1</v>
      </c>
      <c r="U4" s="11">
        <v>9</v>
      </c>
      <c r="V4" s="10">
        <v>8</v>
      </c>
      <c r="W4" s="10">
        <v>9</v>
      </c>
      <c r="X4" s="10">
        <v>9</v>
      </c>
      <c r="Y4" s="10">
        <v>9</v>
      </c>
      <c r="Z4" s="10">
        <v>8</v>
      </c>
      <c r="AA4" s="10">
        <v>8</v>
      </c>
      <c r="AB4" s="10">
        <v>10</v>
      </c>
      <c r="AC4" s="10">
        <v>9</v>
      </c>
      <c r="AD4" s="10">
        <v>7</v>
      </c>
      <c r="AE4" s="10">
        <f>(V4+X4+Y4+Z4)/4</f>
        <v>8.5</v>
      </c>
      <c r="AF4" s="10">
        <f>(U4+AA4)/2</f>
        <v>8.5</v>
      </c>
      <c r="AG4" s="10">
        <f>(W4+AB4+AC4+AD4)/4</f>
        <v>8.75</v>
      </c>
      <c r="AH4" s="10">
        <f>(W4+Z4)/2</f>
        <v>8.5</v>
      </c>
      <c r="AI4" s="10">
        <f>ROUND((V4+W4+Y4)/3,1)</f>
        <v>8.6999999999999993</v>
      </c>
      <c r="AJ4" s="10">
        <f>ROUND((X4+AA4+AC4+AD4)/4,1)</f>
        <v>8.3000000000000007</v>
      </c>
      <c r="AK4" s="10">
        <f>AL4-10*MIN(AI4,AJ4,AF4)</f>
        <v>2.4000000000000057</v>
      </c>
      <c r="AL4" s="10">
        <f>ROUND(0.5*(10/3)*(AE4+AF4+AG4)+(1-0.5)*10*MIN(AE4,AF4,AG4,AH4),1)</f>
        <v>85.4</v>
      </c>
      <c r="AM4" s="10">
        <f>ROUND((10/3)*(AE4+AF4+AG4)-10*MIN(AE4,AF4,AG4,AH4),0)</f>
        <v>1</v>
      </c>
      <c r="AN4" s="10" t="s">
        <v>174</v>
      </c>
      <c r="AO4" s="10">
        <f>(V4+X4+Y4+Z4+C4+E4+F4+G4)/8</f>
        <v>8.5</v>
      </c>
      <c r="AP4" s="10">
        <f>(B4+H4+U4+AA4)/4</f>
        <v>8.5</v>
      </c>
      <c r="AQ4" s="10">
        <f>(W4+AB4+AC4+AD4+D4+I4+J4+K4)/8</f>
        <v>8.75</v>
      </c>
      <c r="AR4" s="10">
        <f>(D4+W4+G4+Z4)/4</f>
        <v>8.5</v>
      </c>
      <c r="AS4" s="10">
        <f>ROUND(0.5*(10/3)*(AO4+AP4+AQ4)+(1-0.5)*10*MIN(AO4,AP4,AQ4,AR4),1)</f>
        <v>85.4</v>
      </c>
      <c r="AT4" s="10">
        <f>ROUND((10/3)*(AO4+AP4+AQ4)-10*MIN(AO4,AP4,AQ4,AR4),0)</f>
        <v>1</v>
      </c>
      <c r="AU4" s="10">
        <v>93</v>
      </c>
      <c r="AV4" s="10">
        <v>3156</v>
      </c>
      <c r="AW4" s="10">
        <v>95</v>
      </c>
      <c r="AX4" s="10">
        <v>265</v>
      </c>
      <c r="AY4" s="17">
        <v>45915</v>
      </c>
      <c r="AZ4" s="10" t="s">
        <v>200</v>
      </c>
      <c r="BA4" s="10" t="s">
        <v>25</v>
      </c>
      <c r="BB4" s="17">
        <v>46121</v>
      </c>
      <c r="BC4" s="10">
        <f>BB4-AY4</f>
        <v>206</v>
      </c>
      <c r="BD4" s="10">
        <f>ROUND(AV4/BC4,1)</f>
        <v>15.3</v>
      </c>
      <c r="BE4" s="10">
        <f>ROUND(100*AW4/AV4,1)</f>
        <v>3</v>
      </c>
      <c r="BF4" s="10">
        <f>ROUND(100*AX4/AV4,1)</f>
        <v>8.4</v>
      </c>
      <c r="BG4" s="10">
        <f>LOOKUP(BC4,$A$47:$A$61,$B$47:$B$61)</f>
        <v>0.78</v>
      </c>
      <c r="BH4" s="10">
        <v>70</v>
      </c>
      <c r="BI4" s="10" t="s">
        <v>423</v>
      </c>
      <c r="BJ4" s="10">
        <f>BD4*BG4</f>
        <v>11.934000000000001</v>
      </c>
      <c r="BK4" s="10" t="s">
        <v>134</v>
      </c>
      <c r="BL4" s="3" t="s">
        <v>424</v>
      </c>
      <c r="BM4" s="3" t="s">
        <v>425</v>
      </c>
      <c r="BN4" s="3" t="s">
        <v>426</v>
      </c>
      <c r="BO4" s="3" t="s">
        <v>234</v>
      </c>
      <c r="BP4" s="10" t="s">
        <v>222</v>
      </c>
      <c r="BQ4" s="3" t="s">
        <v>427</v>
      </c>
      <c r="BR4" s="4" t="s">
        <v>63</v>
      </c>
      <c r="BS4" s="19" t="s">
        <v>72</v>
      </c>
    </row>
    <row r="5" spans="1:71" ht="26.4" customHeight="1" x14ac:dyDescent="0.3">
      <c r="A5" s="4" t="s">
        <v>17</v>
      </c>
      <c r="B5" s="10">
        <v>9</v>
      </c>
      <c r="C5" s="10">
        <v>10</v>
      </c>
      <c r="D5" s="10">
        <v>9</v>
      </c>
      <c r="E5" s="10">
        <v>9</v>
      </c>
      <c r="F5" s="10">
        <v>8</v>
      </c>
      <c r="G5" s="10">
        <v>8</v>
      </c>
      <c r="H5" s="10">
        <v>8</v>
      </c>
      <c r="I5" s="10">
        <v>8</v>
      </c>
      <c r="J5" s="10">
        <v>9</v>
      </c>
      <c r="K5" s="10">
        <v>8</v>
      </c>
      <c r="L5" s="10">
        <f>(C5+E5+F5+G5)/4</f>
        <v>8.75</v>
      </c>
      <c r="M5" s="10">
        <f>(B5+H5)/2</f>
        <v>8.5</v>
      </c>
      <c r="N5" s="10">
        <f>(D5+I5+J5+K5)/4</f>
        <v>8.5</v>
      </c>
      <c r="O5" s="10">
        <f>(D5+G5)/2</f>
        <v>8.5</v>
      </c>
      <c r="P5" s="10">
        <f>ROUND((1/3)*(C5+D5+F5),1)</f>
        <v>9</v>
      </c>
      <c r="Q5" s="10">
        <f>ROUND((1/4)*(E5+H5+J5+K5),1)</f>
        <v>8.5</v>
      </c>
      <c r="R5" s="10">
        <f>S5-10*MIN(P5,Q5,B5)</f>
        <v>0.40000000000000568</v>
      </c>
      <c r="S5" s="10">
        <f>ROUND(0.5*(10/3)*(L5+M5+N5)+(1-0.5)*10*MIN(L5,M5,N5,O5),1)</f>
        <v>85.4</v>
      </c>
      <c r="T5" s="10">
        <f>ROUND((10/3)*(L5+M5+N5) - 10*MIN(L5,M5,N5,O5),0)</f>
        <v>1</v>
      </c>
      <c r="U5" s="11">
        <v>8</v>
      </c>
      <c r="V5" s="10">
        <v>10</v>
      </c>
      <c r="W5" s="10">
        <v>8</v>
      </c>
      <c r="X5" s="10">
        <v>9</v>
      </c>
      <c r="Y5" s="10">
        <v>8</v>
      </c>
      <c r="Z5" s="10">
        <v>8</v>
      </c>
      <c r="AA5" s="10">
        <v>9</v>
      </c>
      <c r="AB5" s="10">
        <v>9</v>
      </c>
      <c r="AC5" s="10">
        <v>9</v>
      </c>
      <c r="AD5" s="10">
        <v>8</v>
      </c>
      <c r="AE5" s="10">
        <f>(V5+X5+Y5+Z5)/4</f>
        <v>8.75</v>
      </c>
      <c r="AF5" s="10">
        <f>(U5+AA5)/2</f>
        <v>8.5</v>
      </c>
      <c r="AG5" s="10">
        <f>(W5+AB5+AC5+AD5)/4</f>
        <v>8.5</v>
      </c>
      <c r="AH5" s="10">
        <f>(W5+Z5)/2</f>
        <v>8</v>
      </c>
      <c r="AI5" s="10">
        <f>ROUND((V5+W5+Y5)/3,1)</f>
        <v>8.6999999999999993</v>
      </c>
      <c r="AJ5" s="10">
        <f>ROUND((X5+AA5+AC5+AD5)/4,1)</f>
        <v>8.8000000000000007</v>
      </c>
      <c r="AK5" s="10">
        <f>AL5-10*MIN(AI5,AJ5,AF5)</f>
        <v>-2.0999999999999943</v>
      </c>
      <c r="AL5" s="10">
        <f>ROUND(0.5*(10/3)*(AE5+AF5+AG5)+(1-0.5)*10*MIN(AE5,AF5,AG5,AH5),1)</f>
        <v>82.9</v>
      </c>
      <c r="AM5" s="10">
        <f>ROUND((10/3)*(AE5+AF5+AG5)-10*MIN(AE5,AF5,AG5,AH5),0)</f>
        <v>6</v>
      </c>
      <c r="AN5" s="10" t="s">
        <v>174</v>
      </c>
      <c r="AO5" s="10">
        <f>(V5+X5+Y5+Z5+C5+E5+F5+G5)/8</f>
        <v>8.75</v>
      </c>
      <c r="AP5" s="10">
        <f>(B5+H5+U5+AA5)/4</f>
        <v>8.5</v>
      </c>
      <c r="AQ5" s="10">
        <f>(W5+AB5+AC5+AD5+D5+I5+J5+K5)/8</f>
        <v>8.5</v>
      </c>
      <c r="AR5" s="10">
        <f>(D5+W5+G5+Z5)/4</f>
        <v>8.25</v>
      </c>
      <c r="AS5" s="10">
        <f>ROUND(0.5*(10/3)*(AO5+AP5+AQ5)+(1-0.5)*10*MIN(AO5,AP5,AQ5,AR5),1)</f>
        <v>84.2</v>
      </c>
      <c r="AT5" s="10">
        <f>ROUND((10/3)*(AO5+AP5+AQ5)-10*MIN(AO5,AP5,AQ5,AR5),0)</f>
        <v>3</v>
      </c>
      <c r="AU5" s="10">
        <v>551</v>
      </c>
      <c r="AV5" s="10">
        <v>118644</v>
      </c>
      <c r="AW5" s="10">
        <v>1558</v>
      </c>
      <c r="AX5" s="10">
        <v>2531</v>
      </c>
      <c r="AY5" s="17">
        <v>43903</v>
      </c>
      <c r="AZ5" s="10" t="s">
        <v>200</v>
      </c>
      <c r="BA5" s="10" t="s">
        <v>26</v>
      </c>
      <c r="BB5" s="17">
        <v>46121</v>
      </c>
      <c r="BC5" s="10">
        <f>BB5-AY5</f>
        <v>2218</v>
      </c>
      <c r="BD5" s="10">
        <f>ROUND(AV5/BC5,1)</f>
        <v>53.5</v>
      </c>
      <c r="BE5" s="10">
        <f>ROUND(100*AW5/AV5,1)</f>
        <v>1.3</v>
      </c>
      <c r="BF5" s="10">
        <f>ROUND(100*AX5/AV5,1)</f>
        <v>2.1</v>
      </c>
      <c r="BG5" s="10">
        <f>LOOKUP(BC5,$A$47:$A$61,$B$47:$B$61)</f>
        <v>1</v>
      </c>
      <c r="BH5" s="10">
        <v>66</v>
      </c>
      <c r="BI5" s="10" t="s">
        <v>220</v>
      </c>
      <c r="BJ5" s="10">
        <f>BD5*BG5</f>
        <v>53.5</v>
      </c>
      <c r="BK5" s="10" t="s">
        <v>231</v>
      </c>
      <c r="BL5" s="3" t="s">
        <v>374</v>
      </c>
      <c r="BM5" s="3" t="s">
        <v>238</v>
      </c>
      <c r="BN5" s="3" t="s">
        <v>239</v>
      </c>
      <c r="BO5" s="3" t="s">
        <v>240</v>
      </c>
      <c r="BP5" s="10" t="s">
        <v>233</v>
      </c>
      <c r="BQ5" s="3" t="s">
        <v>273</v>
      </c>
      <c r="BR5" s="4" t="s">
        <v>76</v>
      </c>
      <c r="BS5" s="19" t="s">
        <v>75</v>
      </c>
    </row>
    <row r="6" spans="1:71" ht="26.4" customHeight="1" x14ac:dyDescent="0.3">
      <c r="A6" s="4" t="s">
        <v>16</v>
      </c>
      <c r="B6" s="10">
        <v>10</v>
      </c>
      <c r="C6" s="10">
        <v>9</v>
      </c>
      <c r="D6" s="10">
        <v>9</v>
      </c>
      <c r="E6" s="10">
        <v>8.5</v>
      </c>
      <c r="F6" s="10">
        <v>9</v>
      </c>
      <c r="G6" s="10">
        <v>6</v>
      </c>
      <c r="H6" s="10">
        <v>10</v>
      </c>
      <c r="I6" s="10">
        <v>8</v>
      </c>
      <c r="J6" s="10">
        <v>7</v>
      </c>
      <c r="K6" s="10">
        <v>8</v>
      </c>
      <c r="L6" s="10">
        <f>(C6+E6+F6+G6)/4</f>
        <v>8.125</v>
      </c>
      <c r="M6" s="10">
        <f>(B6+H6)/2</f>
        <v>10</v>
      </c>
      <c r="N6" s="10">
        <f>(D6+I6+J6+K6)/4</f>
        <v>8</v>
      </c>
      <c r="O6" s="10">
        <f>(D6+G6)/2</f>
        <v>7.5</v>
      </c>
      <c r="P6" s="10">
        <f>ROUND((1/3)*(C6+D6+F6),1)</f>
        <v>9</v>
      </c>
      <c r="Q6" s="10">
        <f>ROUND((1/4)*(E6+H6+J6+K6),1)</f>
        <v>8.4</v>
      </c>
      <c r="R6" s="10">
        <f>S6-10*MIN(P6,Q6,B6)</f>
        <v>-3</v>
      </c>
      <c r="S6" s="10">
        <f>ROUND(0.5*(10/3)*(L6+M6+N6)+(1-0.5)*10*MIN(L6,M6,N6,O6),1)</f>
        <v>81</v>
      </c>
      <c r="T6" s="10">
        <f>ROUND((10/3)*(L6+M6+N6) - 10*MIN(L6,M6,N6,O6),0)</f>
        <v>12</v>
      </c>
      <c r="U6" s="11">
        <v>10</v>
      </c>
      <c r="V6" s="10">
        <v>9</v>
      </c>
      <c r="W6" s="10">
        <v>9</v>
      </c>
      <c r="X6" s="10">
        <v>8.5</v>
      </c>
      <c r="Y6" s="10">
        <v>9</v>
      </c>
      <c r="Z6" s="10">
        <v>7</v>
      </c>
      <c r="AA6" s="10">
        <v>9</v>
      </c>
      <c r="AB6" s="10">
        <v>9</v>
      </c>
      <c r="AC6" s="10">
        <v>8</v>
      </c>
      <c r="AD6" s="10">
        <v>8</v>
      </c>
      <c r="AE6" s="10">
        <f>(V6+X6+Y6+Z6)/4</f>
        <v>8.375</v>
      </c>
      <c r="AF6" s="10">
        <f>(U6+AA6)/2</f>
        <v>9.5</v>
      </c>
      <c r="AG6" s="10">
        <f>(W6+AB6+AC6+AD6)/4</f>
        <v>8.5</v>
      </c>
      <c r="AH6" s="10">
        <f>(W6+Z6)/2</f>
        <v>8</v>
      </c>
      <c r="AI6" s="10">
        <f>ROUND((V6+W6+Y6)/3,1)</f>
        <v>9</v>
      </c>
      <c r="AJ6" s="10">
        <f>ROUND((X6+AA6+AC6+AD6)/4,1)</f>
        <v>8.4</v>
      </c>
      <c r="AK6" s="10">
        <f>AL6-10*MIN(AI6,AJ6,AF6)</f>
        <v>0</v>
      </c>
      <c r="AL6" s="10">
        <f>ROUND(0.5*(10/3)*(AE6+AF6+AG6)+(1-0.5)*10*MIN(AE6,AF6,AG6,AH6),1)</f>
        <v>84</v>
      </c>
      <c r="AM6" s="10">
        <f>ROUND((10/3)*(AE6+AF6+AG6)-10*MIN(AE6,AF6,AG6,AH6),0)</f>
        <v>8</v>
      </c>
      <c r="AN6" s="10" t="s">
        <v>174</v>
      </c>
      <c r="AO6" s="10">
        <f>(V6+X6+Y6+Z6+C6+E6+F6+G6)/8</f>
        <v>8.25</v>
      </c>
      <c r="AP6" s="10">
        <f>(B6+H6+U6+AA6)/4</f>
        <v>9.75</v>
      </c>
      <c r="AQ6" s="10">
        <f>(W6+AB6+AC6+AD6+D6+I6+J6+K6)/8</f>
        <v>8.25</v>
      </c>
      <c r="AR6" s="10">
        <f>(D6+W6+G6+Z6)/4</f>
        <v>7.75</v>
      </c>
      <c r="AS6" s="10">
        <f>ROUND(0.5*(10/3)*(AO6+AP6+AQ6)+(1-0.5)*10*MIN(AO6,AP6,AQ6,AR6),1)</f>
        <v>82.5</v>
      </c>
      <c r="AT6" s="10">
        <f>ROUND((10/3)*(AO6+AP6+AQ6)-10*MIN(AO6,AP6,AQ6,AR6),0)</f>
        <v>10</v>
      </c>
      <c r="AU6" s="10">
        <v>253</v>
      </c>
      <c r="AV6" s="10">
        <v>95681</v>
      </c>
      <c r="AW6" s="10">
        <v>2009</v>
      </c>
      <c r="AX6" s="10">
        <v>947</v>
      </c>
      <c r="AY6" s="17">
        <v>43594</v>
      </c>
      <c r="AZ6" s="10" t="s">
        <v>200</v>
      </c>
      <c r="BA6" s="10" t="s">
        <v>25</v>
      </c>
      <c r="BB6" s="17">
        <v>46121</v>
      </c>
      <c r="BC6" s="10">
        <f>BB6-AY6</f>
        <v>2527</v>
      </c>
      <c r="BD6" s="10">
        <f>ROUND(AV6/BC6,1)</f>
        <v>37.9</v>
      </c>
      <c r="BE6" s="10">
        <f>ROUND(100*AW6/AV6,1)</f>
        <v>2.1</v>
      </c>
      <c r="BF6" s="10">
        <f>ROUND(100*AX6/AV6,1)</f>
        <v>1</v>
      </c>
      <c r="BG6" s="10">
        <f>LOOKUP(BC6,$A$47:$A$61,$B$47:$B$61)</f>
        <v>1</v>
      </c>
      <c r="BH6" s="10">
        <v>76</v>
      </c>
      <c r="BI6" s="10" t="s">
        <v>220</v>
      </c>
      <c r="BJ6" s="10">
        <f>BD6*BG6</f>
        <v>37.9</v>
      </c>
      <c r="BK6" s="10" t="s">
        <v>134</v>
      </c>
      <c r="BL6" s="3" t="s">
        <v>229</v>
      </c>
      <c r="BM6" s="3" t="s">
        <v>335</v>
      </c>
      <c r="BN6" s="3" t="s">
        <v>230</v>
      </c>
      <c r="BO6" s="3" t="s">
        <v>347</v>
      </c>
      <c r="BP6" s="10" t="s">
        <v>222</v>
      </c>
      <c r="BQ6" s="3" t="s">
        <v>270</v>
      </c>
      <c r="BR6" s="4" t="s">
        <v>69</v>
      </c>
      <c r="BS6" s="19" t="s">
        <v>68</v>
      </c>
    </row>
    <row r="7" spans="1:71" ht="28.2" customHeight="1" x14ac:dyDescent="0.3">
      <c r="A7" s="4" t="s">
        <v>124</v>
      </c>
      <c r="B7" s="10">
        <v>7</v>
      </c>
      <c r="C7" s="10">
        <v>9</v>
      </c>
      <c r="D7" s="10">
        <v>7</v>
      </c>
      <c r="E7" s="10">
        <v>7.5</v>
      </c>
      <c r="F7" s="10">
        <v>8</v>
      </c>
      <c r="G7" s="10">
        <v>8</v>
      </c>
      <c r="H7" s="10">
        <v>8</v>
      </c>
      <c r="I7" s="10">
        <v>9</v>
      </c>
      <c r="J7" s="10">
        <v>9</v>
      </c>
      <c r="K7" s="10">
        <v>10</v>
      </c>
      <c r="L7" s="10">
        <f>(C7+E7+F7+G7)/4</f>
        <v>8.125</v>
      </c>
      <c r="M7" s="10">
        <f>(B7+H7)/2</f>
        <v>7.5</v>
      </c>
      <c r="N7" s="10">
        <f>(D7+I7+J7+K7)/4</f>
        <v>8.75</v>
      </c>
      <c r="O7" s="10">
        <f>(D7+G7)/2</f>
        <v>7.5</v>
      </c>
      <c r="P7" s="10">
        <f>ROUND((1/3)*(C7+D7+F7),1)</f>
        <v>8</v>
      </c>
      <c r="Q7" s="10">
        <f>ROUND((1/4)*(E7+H7+J7+K7),1)</f>
        <v>8.6</v>
      </c>
      <c r="R7" s="10">
        <f>S7-10*MIN(P7,Q7,B7)</f>
        <v>8.0999999999999943</v>
      </c>
      <c r="S7" s="10">
        <f>ROUND(0.5*(10/3)*(L7+M7+N7)+(1-0.5)*10*MIN(L7,M7,N7,O7),1)</f>
        <v>78.099999999999994</v>
      </c>
      <c r="T7" s="10">
        <f>ROUND((10/3)*(L7+M7+N7) - 10*MIN(L7,M7,N7,O7),0)</f>
        <v>6</v>
      </c>
      <c r="U7" s="11">
        <v>7</v>
      </c>
      <c r="V7" s="10">
        <v>9</v>
      </c>
      <c r="W7" s="10">
        <v>7</v>
      </c>
      <c r="X7" s="10">
        <v>8</v>
      </c>
      <c r="Y7" s="10">
        <v>7</v>
      </c>
      <c r="Z7" s="10">
        <v>8</v>
      </c>
      <c r="AA7" s="10">
        <v>8</v>
      </c>
      <c r="AB7" s="10">
        <v>9</v>
      </c>
      <c r="AC7" s="10">
        <v>8</v>
      </c>
      <c r="AD7" s="10">
        <v>10</v>
      </c>
      <c r="AE7" s="10">
        <f>(V7+X7+Y7+Z7)/4</f>
        <v>8</v>
      </c>
      <c r="AF7" s="10">
        <f>(U7+AA7)/2</f>
        <v>7.5</v>
      </c>
      <c r="AG7" s="10">
        <f>(W7+AB7+AC7+AD7)/4</f>
        <v>8.5</v>
      </c>
      <c r="AH7" s="10">
        <f>(W7+Z7)/2</f>
        <v>7.5</v>
      </c>
      <c r="AI7" s="10">
        <f>ROUND((V7+W7+Y7)/3,1)</f>
        <v>7.7</v>
      </c>
      <c r="AJ7" s="10">
        <f>ROUND((X7+AA7+AC7+AD7)/4,1)</f>
        <v>8.5</v>
      </c>
      <c r="AK7" s="10">
        <f>AL7-10*MIN(AI7,AJ7,AF7)</f>
        <v>2.5</v>
      </c>
      <c r="AL7" s="10">
        <f>ROUND(0.5*(10/3)*(AE7+AF7+AG7)+(1-0.5)*10*MIN(AE7,AF7,AG7,AH7),1)</f>
        <v>77.5</v>
      </c>
      <c r="AM7" s="10">
        <f>ROUND((10/3)*(AE7+AF7+AG7)-10*MIN(AE7,AF7,AG7,AH7),0)</f>
        <v>5</v>
      </c>
      <c r="AN7" s="10" t="s">
        <v>174</v>
      </c>
      <c r="AO7" s="10">
        <f>(V7+X7+Y7+Z7+C7+E7+F7+G7)/8</f>
        <v>8.0625</v>
      </c>
      <c r="AP7" s="10">
        <f>(B7+H7+U7+AA7)/4</f>
        <v>7.5</v>
      </c>
      <c r="AQ7" s="10">
        <f>(W7+AB7+AC7+AD7+D7+I7+J7+K7)/8</f>
        <v>8.625</v>
      </c>
      <c r="AR7" s="10">
        <f>(D7+W7+G7+Z7)/4</f>
        <v>7.5</v>
      </c>
      <c r="AS7" s="10">
        <f>ROUND(0.5*(10/3)*(AO7+AP7+AQ7)+(1-0.5)*10*MIN(AO7,AP7,AQ7,AR7),1)</f>
        <v>77.8</v>
      </c>
      <c r="AT7" s="10">
        <f>ROUND((10/3)*(AO7+AP7+AQ7)-10*MIN(AO7,AP7,AQ7,AR7),0)</f>
        <v>6</v>
      </c>
      <c r="AU7" s="10">
        <v>179</v>
      </c>
      <c r="AV7" s="10">
        <v>6016</v>
      </c>
      <c r="AW7" s="10">
        <v>86</v>
      </c>
      <c r="AX7" s="10">
        <v>332</v>
      </c>
      <c r="AY7" s="17">
        <v>45973</v>
      </c>
      <c r="AZ7" s="10" t="s">
        <v>198</v>
      </c>
      <c r="BA7" s="10" t="s">
        <v>25</v>
      </c>
      <c r="BB7" s="17">
        <v>46121</v>
      </c>
      <c r="BC7" s="10">
        <f>BB7-AY7</f>
        <v>148</v>
      </c>
      <c r="BD7" s="10">
        <f>ROUND(AV7/BC7,1)</f>
        <v>40.6</v>
      </c>
      <c r="BE7" s="10">
        <f>ROUND(100*AW7/AV7,1)</f>
        <v>1.4</v>
      </c>
      <c r="BF7" s="10">
        <f>ROUND(100*AX7/AV7,1)</f>
        <v>5.5</v>
      </c>
      <c r="BG7" s="10">
        <f>LOOKUP(BC7,$A$47:$A$61,$B$47:$B$61)</f>
        <v>0.65</v>
      </c>
      <c r="BH7" s="10">
        <v>64</v>
      </c>
      <c r="BI7" s="10" t="s">
        <v>220</v>
      </c>
      <c r="BJ7" s="10">
        <f>BD7*BG7</f>
        <v>26.39</v>
      </c>
      <c r="BK7" s="10" t="s">
        <v>231</v>
      </c>
      <c r="BL7" s="3" t="s">
        <v>324</v>
      </c>
      <c r="BM7" s="3" t="s">
        <v>334</v>
      </c>
      <c r="BN7" s="3" t="s">
        <v>267</v>
      </c>
      <c r="BO7" s="3" t="s">
        <v>307</v>
      </c>
      <c r="BP7" s="10" t="s">
        <v>222</v>
      </c>
      <c r="BQ7" s="3" t="s">
        <v>315</v>
      </c>
      <c r="BR7" s="4" t="s">
        <v>62</v>
      </c>
      <c r="BS7" s="19" t="s">
        <v>127</v>
      </c>
    </row>
    <row r="8" spans="1:71" ht="40.799999999999997" customHeight="1" x14ac:dyDescent="0.3">
      <c r="A8" s="4" t="s">
        <v>150</v>
      </c>
      <c r="B8" s="10">
        <v>9</v>
      </c>
      <c r="C8" s="10">
        <v>8</v>
      </c>
      <c r="D8" s="10">
        <v>8</v>
      </c>
      <c r="E8" s="10">
        <v>7</v>
      </c>
      <c r="F8" s="10">
        <v>8</v>
      </c>
      <c r="G8" s="10">
        <v>7</v>
      </c>
      <c r="H8" s="10">
        <v>8</v>
      </c>
      <c r="I8" s="10">
        <v>9</v>
      </c>
      <c r="J8" s="10">
        <v>8</v>
      </c>
      <c r="K8" s="10">
        <v>8</v>
      </c>
      <c r="L8" s="10">
        <f>(C8+E8+F8+G8)/4</f>
        <v>7.5</v>
      </c>
      <c r="M8" s="10">
        <f>(B8+H8)/2</f>
        <v>8.5</v>
      </c>
      <c r="N8" s="10">
        <f>(D8+I8+J8+K8)/4</f>
        <v>8.25</v>
      </c>
      <c r="O8" s="10">
        <f>(D8+G8)/2</f>
        <v>7.5</v>
      </c>
      <c r="P8" s="10">
        <f>ROUND((1/3)*(C8+D8+F8),1)</f>
        <v>8</v>
      </c>
      <c r="Q8" s="10">
        <f>ROUND((1/4)*(E8+H8+J8+K8),1)</f>
        <v>7.8</v>
      </c>
      <c r="R8" s="10">
        <f>S8-10*MIN(P8,Q8,B8)</f>
        <v>-9.9999999999994316E-2</v>
      </c>
      <c r="S8" s="10">
        <f>ROUND(0.5*(10/3)*(L8+M8+N8)+(1-0.5)*10*MIN(L8,M8,N8,O8),1)</f>
        <v>77.900000000000006</v>
      </c>
      <c r="T8" s="10">
        <f>ROUND((10/3)*(L8+M8+N8) - 10*MIN(L8,M8,N8,O8),0)</f>
        <v>6</v>
      </c>
      <c r="U8" s="11">
        <v>8</v>
      </c>
      <c r="V8" s="10">
        <v>8</v>
      </c>
      <c r="W8" s="10">
        <v>8</v>
      </c>
      <c r="X8" s="10">
        <v>8</v>
      </c>
      <c r="Y8" s="10">
        <v>8</v>
      </c>
      <c r="Z8" s="10">
        <v>7</v>
      </c>
      <c r="AA8" s="10">
        <v>7</v>
      </c>
      <c r="AB8" s="10">
        <v>8</v>
      </c>
      <c r="AC8" s="10">
        <v>7</v>
      </c>
      <c r="AD8" s="10">
        <v>8</v>
      </c>
      <c r="AE8" s="10">
        <f>(V8+X8+Y8+Z8)/4</f>
        <v>7.75</v>
      </c>
      <c r="AF8" s="10">
        <f>(U8+AA8)/2</f>
        <v>7.5</v>
      </c>
      <c r="AG8" s="10">
        <f>(W8+AB8+AC8+AD8)/4</f>
        <v>7.75</v>
      </c>
      <c r="AH8" s="10">
        <f>(W8+Z8)/2</f>
        <v>7.5</v>
      </c>
      <c r="AI8" s="10">
        <f>ROUND((V8+W8+Y8)/3,1)</f>
        <v>8</v>
      </c>
      <c r="AJ8" s="10">
        <f>ROUND((X8+AA8+AC8+AD8)/4,1)</f>
        <v>7.5</v>
      </c>
      <c r="AK8" s="10">
        <f>AL8-10*MIN(AI8,AJ8,AF8)</f>
        <v>0.79999999999999716</v>
      </c>
      <c r="AL8" s="10">
        <f>ROUND(0.5*(10/3)*(AE8+AF8+AG8)+(1-0.5)*10*MIN(AE8,AF8,AG8,AH8),1)</f>
        <v>75.8</v>
      </c>
      <c r="AM8" s="10">
        <f>ROUND((10/3)*(AE8+AF8+AG8)-10*MIN(AE8,AF8,AG8,AH8),0)</f>
        <v>2</v>
      </c>
      <c r="AN8" s="10" t="s">
        <v>71</v>
      </c>
      <c r="AO8" s="10">
        <f>(V8+X8+Y8+Z8+C8+E8+F8+G8)/8</f>
        <v>7.625</v>
      </c>
      <c r="AP8" s="10">
        <f>(B8+H8+U8+AA8)/4</f>
        <v>8</v>
      </c>
      <c r="AQ8" s="10">
        <f>(W8+AB8+AC8+AD8+D8+I8+J8+K8)/8</f>
        <v>8</v>
      </c>
      <c r="AR8" s="10">
        <f>(D8+W8+G8+Z8)/4</f>
        <v>7.5</v>
      </c>
      <c r="AS8" s="10">
        <f>ROUND(0.5*(10/3)*(AO8+AP8+AQ8)+(1-0.5)*10*MIN(AO8,AP8,AQ8,AR8),1)</f>
        <v>76.900000000000006</v>
      </c>
      <c r="AT8" s="10">
        <f>ROUND((10/3)*(AO8+AP8+AQ8)-10*MIN(AO8,AP8,AQ8,AR8),0)</f>
        <v>4</v>
      </c>
      <c r="AU8" s="10"/>
      <c r="AV8" s="10"/>
      <c r="AW8" s="10"/>
      <c r="AX8" s="10"/>
      <c r="AY8" s="10"/>
      <c r="AZ8" s="10"/>
      <c r="BA8" s="10" t="s">
        <v>216</v>
      </c>
      <c r="BB8" s="10"/>
      <c r="BC8" s="10">
        <f>BB8-AY8</f>
        <v>0</v>
      </c>
      <c r="BD8" s="10" t="e">
        <f>ROUND(AV8/BC8,1)</f>
        <v>#DIV/0!</v>
      </c>
      <c r="BE8" s="10" t="e">
        <f>ROUND(100*AW8/AV8,1)</f>
        <v>#DIV/0!</v>
      </c>
      <c r="BF8" s="8" t="e">
        <f>ROUND(100*AX8/AV8,1)</f>
        <v>#DIV/0!</v>
      </c>
      <c r="BG8" s="10">
        <f>LOOKUP(BC8,$A$47:$A$61,$B$47:$B$61)</f>
        <v>0</v>
      </c>
      <c r="BH8" s="10"/>
      <c r="BI8" s="10"/>
      <c r="BJ8" s="10" t="e">
        <f>BD8*BG8</f>
        <v>#DIV/0!</v>
      </c>
      <c r="BK8" s="10"/>
      <c r="BL8" s="3"/>
      <c r="BM8" s="3"/>
      <c r="BN8" s="3"/>
      <c r="BO8" s="3"/>
      <c r="BP8" s="10"/>
      <c r="BQ8" s="3"/>
      <c r="BR8" s="4" t="s">
        <v>380</v>
      </c>
      <c r="BS8" s="20" t="s">
        <v>71</v>
      </c>
    </row>
    <row r="9" spans="1:71" ht="29.4" customHeight="1" x14ac:dyDescent="0.3">
      <c r="A9" s="4" t="s">
        <v>19</v>
      </c>
      <c r="B9" s="10">
        <v>10</v>
      </c>
      <c r="C9" s="10">
        <v>8</v>
      </c>
      <c r="D9" s="10">
        <v>8</v>
      </c>
      <c r="E9" s="10">
        <v>8</v>
      </c>
      <c r="F9" s="10">
        <v>8</v>
      </c>
      <c r="G9" s="10">
        <v>7</v>
      </c>
      <c r="H9" s="10">
        <v>8</v>
      </c>
      <c r="I9" s="10">
        <v>9</v>
      </c>
      <c r="J9" s="10">
        <v>7</v>
      </c>
      <c r="K9" s="10">
        <v>8</v>
      </c>
      <c r="L9" s="10">
        <f>(C9+E9+F9+G9)/4</f>
        <v>7.75</v>
      </c>
      <c r="M9" s="10">
        <f>(B9+H9)/2</f>
        <v>9</v>
      </c>
      <c r="N9" s="10">
        <f>(D9+I9+J9+K9)/4</f>
        <v>8</v>
      </c>
      <c r="O9" s="10">
        <f>(D9+G9)/2</f>
        <v>7.5</v>
      </c>
      <c r="P9" s="10">
        <f>ROUND((1/3)*(C9+D9+F9),1)</f>
        <v>8</v>
      </c>
      <c r="Q9" s="10">
        <f>ROUND((1/4)*(E9+H9+J9+K9),1)</f>
        <v>7.8</v>
      </c>
      <c r="R9" s="10">
        <f>S9-10*MIN(P9,Q9,B9)</f>
        <v>0.79999999999999716</v>
      </c>
      <c r="S9" s="10">
        <f>ROUND(0.5*(10/3)*(L9+M9+N9)+(1-0.5)*10*MIN(L9,M9,N9,O9),1)</f>
        <v>78.8</v>
      </c>
      <c r="T9" s="10">
        <f>ROUND((10/3)*(L9+M9+N9) - 10*MIN(L9,M9,N9,O9),0)</f>
        <v>8</v>
      </c>
      <c r="U9" s="11">
        <v>9</v>
      </c>
      <c r="V9" s="10">
        <v>8</v>
      </c>
      <c r="W9" s="10">
        <v>8</v>
      </c>
      <c r="X9" s="10">
        <v>8</v>
      </c>
      <c r="Y9" s="10">
        <v>8</v>
      </c>
      <c r="Z9" s="10">
        <v>5</v>
      </c>
      <c r="AA9" s="10">
        <v>8</v>
      </c>
      <c r="AB9" s="10">
        <v>9</v>
      </c>
      <c r="AC9" s="10">
        <v>7</v>
      </c>
      <c r="AD9" s="10">
        <v>8</v>
      </c>
      <c r="AE9" s="10">
        <f>(V9+X9+Y9+Z9)/4</f>
        <v>7.25</v>
      </c>
      <c r="AF9" s="10">
        <f>(U9+AA9)/2</f>
        <v>8.5</v>
      </c>
      <c r="AG9" s="10">
        <f>(W9+AB9+AC9+AD9)/4</f>
        <v>8</v>
      </c>
      <c r="AH9" s="10">
        <f>(W9+Z9)/2</f>
        <v>6.5</v>
      </c>
      <c r="AI9" s="10">
        <f>ROUND((V9+W9+Y9)/3,1)</f>
        <v>8</v>
      </c>
      <c r="AJ9" s="10">
        <f>ROUND((X9+AA9+AC9+AD9)/4,1)</f>
        <v>7.8</v>
      </c>
      <c r="AK9" s="10">
        <f>AL9-10*MIN(AI9,AJ9,AF9)</f>
        <v>-5.9000000000000057</v>
      </c>
      <c r="AL9" s="10">
        <f>ROUND(0.5*(10/3)*(AE9+AF9+AG9)+(1-0.5)*10*MIN(AE9,AF9,AG9,AH9),1)</f>
        <v>72.099999999999994</v>
      </c>
      <c r="AM9" s="10">
        <f>ROUND((10/3)*(AE9+AF9+AG9)-10*MIN(AE9,AF9,AG9,AH9),0)</f>
        <v>14</v>
      </c>
      <c r="AN9" s="10" t="s">
        <v>174</v>
      </c>
      <c r="AO9" s="10">
        <f>(V9+X9+Y9+Z9+C9+E9+F9+G9)/8</f>
        <v>7.5</v>
      </c>
      <c r="AP9" s="10">
        <f>(B9+H9+U9+AA9)/4</f>
        <v>8.75</v>
      </c>
      <c r="AQ9" s="10">
        <f>(W9+AB9+AC9+AD9+D9+I9+J9+K9)/8</f>
        <v>8</v>
      </c>
      <c r="AR9" s="10">
        <f>(D9+W9+G9+Z9)/4</f>
        <v>7</v>
      </c>
      <c r="AS9" s="10">
        <f>ROUND(0.5*(10/3)*(AO9+AP9+AQ9)+(1-0.5)*10*MIN(AO9,AP9,AQ9,AR9),1)</f>
        <v>75.400000000000006</v>
      </c>
      <c r="AT9" s="10">
        <f>ROUND((10/3)*(AO9+AP9+AQ9)-10*MIN(AO9,AP9,AQ9,AR9),0)</f>
        <v>11</v>
      </c>
      <c r="AU9" s="10">
        <v>184</v>
      </c>
      <c r="AV9" s="10">
        <v>73529</v>
      </c>
      <c r="AW9" s="10">
        <v>1620</v>
      </c>
      <c r="AX9" s="10">
        <v>1108</v>
      </c>
      <c r="AY9" s="17">
        <v>43924</v>
      </c>
      <c r="AZ9" s="10" t="s">
        <v>198</v>
      </c>
      <c r="BA9" s="10" t="s">
        <v>281</v>
      </c>
      <c r="BB9" s="17">
        <v>46121</v>
      </c>
      <c r="BC9" s="10">
        <f>BB9-AY9</f>
        <v>2197</v>
      </c>
      <c r="BD9" s="10">
        <f>ROUND(AV9/BC9,1)</f>
        <v>33.5</v>
      </c>
      <c r="BE9" s="10">
        <f>ROUND(100*AW9/AV9,1)</f>
        <v>2.2000000000000002</v>
      </c>
      <c r="BF9" s="10">
        <f>ROUND(100*AX9/AV9,1)</f>
        <v>1.5</v>
      </c>
      <c r="BG9" s="10">
        <f>LOOKUP(BC9,$A$47:$A$61,$B$47:$B$61)</f>
        <v>1</v>
      </c>
      <c r="BH9" s="10">
        <v>77</v>
      </c>
      <c r="BI9" s="10" t="s">
        <v>220</v>
      </c>
      <c r="BJ9" s="10">
        <f>BD9*BG9</f>
        <v>33.5</v>
      </c>
      <c r="BK9" s="10" t="s">
        <v>134</v>
      </c>
      <c r="BL9" s="3" t="s">
        <v>354</v>
      </c>
      <c r="BM9" s="3" t="s">
        <v>355</v>
      </c>
      <c r="BN9" s="3" t="s">
        <v>356</v>
      </c>
      <c r="BO9" s="3" t="s">
        <v>357</v>
      </c>
      <c r="BP9" s="10" t="s">
        <v>281</v>
      </c>
      <c r="BQ9" s="3" t="s">
        <v>278</v>
      </c>
      <c r="BR9" s="4" t="s">
        <v>86</v>
      </c>
      <c r="BS9" s="19" t="s">
        <v>85</v>
      </c>
    </row>
    <row r="10" spans="1:71" ht="28.8" customHeight="1" x14ac:dyDescent="0.3">
      <c r="A10" s="4" t="s">
        <v>35</v>
      </c>
      <c r="B10" s="10">
        <v>9</v>
      </c>
      <c r="C10" s="10">
        <v>8</v>
      </c>
      <c r="D10" s="10">
        <v>8</v>
      </c>
      <c r="E10" s="10">
        <v>8</v>
      </c>
      <c r="F10" s="10">
        <v>8</v>
      </c>
      <c r="G10" s="10">
        <v>6</v>
      </c>
      <c r="H10" s="10">
        <v>7</v>
      </c>
      <c r="I10" s="10">
        <v>8</v>
      </c>
      <c r="J10" s="10">
        <v>8</v>
      </c>
      <c r="K10" s="10">
        <v>7</v>
      </c>
      <c r="L10" s="10">
        <f>(C10+E10+F10+G10)/4</f>
        <v>7.5</v>
      </c>
      <c r="M10" s="10">
        <f>(B10+H10)/2</f>
        <v>8</v>
      </c>
      <c r="N10" s="10">
        <f>(D10+I10+J10+K10)/4</f>
        <v>7.75</v>
      </c>
      <c r="O10" s="10">
        <f>(D10+G10)/2</f>
        <v>7</v>
      </c>
      <c r="P10" s="10">
        <f>ROUND((1/3)*(C10+D10+F10),1)</f>
        <v>8</v>
      </c>
      <c r="Q10" s="10">
        <f>ROUND((1/4)*(E10+H10+J10+K10),1)</f>
        <v>7.5</v>
      </c>
      <c r="R10" s="10">
        <f>S10-10*MIN(P10,Q10,B10)</f>
        <v>-1.2000000000000028</v>
      </c>
      <c r="S10" s="10">
        <f>ROUND(0.5*(10/3)*(L10+M10+N10)+(1-0.5)*10*MIN(L10,M10,N10,O10),1)</f>
        <v>73.8</v>
      </c>
      <c r="T10" s="10">
        <f>ROUND((10/3)*(L10+M10+N10) - 10*MIN(L10,M10,N10,O10),0)</f>
        <v>8</v>
      </c>
      <c r="U10" s="10">
        <v>9</v>
      </c>
      <c r="V10" s="10">
        <v>8</v>
      </c>
      <c r="W10" s="10">
        <v>8</v>
      </c>
      <c r="X10" s="10">
        <v>8</v>
      </c>
      <c r="Y10" s="10">
        <v>8</v>
      </c>
      <c r="Z10" s="10">
        <v>6</v>
      </c>
      <c r="AA10" s="10">
        <v>7</v>
      </c>
      <c r="AB10" s="10">
        <v>8</v>
      </c>
      <c r="AC10" s="10">
        <v>8</v>
      </c>
      <c r="AD10" s="10">
        <v>7</v>
      </c>
      <c r="AE10" s="10">
        <f>(V10+X10+Y10+Z10)/4</f>
        <v>7.5</v>
      </c>
      <c r="AF10" s="10">
        <f>(U10+AA10)/2</f>
        <v>8</v>
      </c>
      <c r="AG10" s="10">
        <f>(W10+AB10+AC10+AD10)/4</f>
        <v>7.75</v>
      </c>
      <c r="AH10" s="10">
        <f>(W10+Z10)/2</f>
        <v>7</v>
      </c>
      <c r="AI10" s="10">
        <f>ROUND((V10+W10+Y10)/3,1)</f>
        <v>8</v>
      </c>
      <c r="AJ10" s="10">
        <f>ROUND((X10+AA10+AC10+AD10)/4,1)</f>
        <v>7.5</v>
      </c>
      <c r="AK10" s="10">
        <f>AL10-10*MIN(AI10,AJ10,AF10)</f>
        <v>-1.2000000000000028</v>
      </c>
      <c r="AL10" s="10">
        <f>ROUND(0.5*(10/3)*(AE10+AF10+AG10)+(1-0.5)*10*MIN(AE10,AF10,AG10,AH10),1)</f>
        <v>73.8</v>
      </c>
      <c r="AM10" s="10">
        <f>ROUND((10/3)*(AE10+AF10+AG10)-10*MIN(AE10,AF10,AG10,AH10),0)</f>
        <v>8</v>
      </c>
      <c r="AN10" s="10" t="s">
        <v>71</v>
      </c>
      <c r="AO10" s="10">
        <f>(V10+X10+Y10+Z10+C10+E10+F10+G10)/8</f>
        <v>7.5</v>
      </c>
      <c r="AP10" s="10">
        <f>(B10+H10+U10+AA10)/4</f>
        <v>8</v>
      </c>
      <c r="AQ10" s="10">
        <f>(W10+AB10+AC10+AD10+D10+I10+J10+K10)/8</f>
        <v>7.75</v>
      </c>
      <c r="AR10" s="10">
        <f>(D10+W10+G10+Z10)/4</f>
        <v>7</v>
      </c>
      <c r="AS10" s="10">
        <f>ROUND(0.5*(10/3)*(AO10+AP10+AQ10)+(1-0.5)*10*MIN(AO10,AP10,AQ10,AR10),1)</f>
        <v>73.8</v>
      </c>
      <c r="AT10" s="10">
        <f>ROUND((10/3)*(AO10+AP10+AQ10)-10*MIN(AO10,AP10,AQ10,AR10),0)</f>
        <v>8</v>
      </c>
      <c r="AU10" s="10"/>
      <c r="AV10" s="10"/>
      <c r="AW10" s="10"/>
      <c r="AX10" s="10"/>
      <c r="AY10" s="10"/>
      <c r="AZ10" s="10"/>
      <c r="BA10" s="10" t="s">
        <v>216</v>
      </c>
      <c r="BB10" s="10"/>
      <c r="BC10" s="10">
        <f>BB10-AY10</f>
        <v>0</v>
      </c>
      <c r="BD10" s="10" t="e">
        <f>ROUND(AV10/BC10,1)</f>
        <v>#DIV/0!</v>
      </c>
      <c r="BE10" s="10" t="e">
        <f>ROUND(100*AW10/AV10,1)</f>
        <v>#DIV/0!</v>
      </c>
      <c r="BF10" s="8" t="e">
        <f>ROUND(100*AX10/AV10,1)</f>
        <v>#DIV/0!</v>
      </c>
      <c r="BG10" s="10">
        <f>LOOKUP(BC10,$A$47:$A$61,$B$47:$B$61)</f>
        <v>0</v>
      </c>
      <c r="BH10" s="10"/>
      <c r="BI10" s="10"/>
      <c r="BJ10" s="10" t="e">
        <f>BD10*BG10</f>
        <v>#DIV/0!</v>
      </c>
      <c r="BK10" s="10"/>
      <c r="BL10" s="3"/>
      <c r="BM10" s="3"/>
      <c r="BN10" s="3"/>
      <c r="BO10" s="3"/>
      <c r="BP10" s="10"/>
      <c r="BQ10" s="3"/>
      <c r="BR10" s="4" t="s">
        <v>120</v>
      </c>
      <c r="BS10" s="20" t="s">
        <v>71</v>
      </c>
    </row>
    <row r="11" spans="1:71" ht="48" customHeight="1" x14ac:dyDescent="0.3">
      <c r="A11" s="4" t="s">
        <v>22</v>
      </c>
      <c r="B11" s="10">
        <v>9</v>
      </c>
      <c r="C11" s="10">
        <v>9</v>
      </c>
      <c r="D11" s="10">
        <v>6</v>
      </c>
      <c r="E11" s="10">
        <v>9</v>
      </c>
      <c r="F11" s="10">
        <v>9</v>
      </c>
      <c r="G11" s="10">
        <v>8</v>
      </c>
      <c r="H11" s="10">
        <v>10</v>
      </c>
      <c r="I11" s="10">
        <v>9</v>
      </c>
      <c r="J11" s="10">
        <v>7</v>
      </c>
      <c r="K11" s="10">
        <v>8</v>
      </c>
      <c r="L11" s="10">
        <f>(C11+E11+F11+G11)/4</f>
        <v>8.75</v>
      </c>
      <c r="M11" s="10">
        <f>(B11+H11)/2</f>
        <v>9.5</v>
      </c>
      <c r="N11" s="10">
        <f>(D11+I11+J11+K11)/4</f>
        <v>7.5</v>
      </c>
      <c r="O11" s="10">
        <f>(D11+G11)/2</f>
        <v>7</v>
      </c>
      <c r="P11" s="10">
        <f>ROUND((1/3)*(C11+D11+F11),1)</f>
        <v>8</v>
      </c>
      <c r="Q11" s="10">
        <f>ROUND((1/4)*(E11+H11+J11+K11),1)</f>
        <v>8.5</v>
      </c>
      <c r="R11" s="10">
        <f>S11-10*MIN(P11,Q11,B11)</f>
        <v>-2.0999999999999943</v>
      </c>
      <c r="S11" s="10">
        <f>ROUND(0.5*(10/3)*(L11+M11+N11)+(1-0.5)*10*MIN(L11,M11,N11,O11),1)</f>
        <v>77.900000000000006</v>
      </c>
      <c r="T11" s="10">
        <f>ROUND((10/3)*(L11+M11+N11) - 10*MIN(L11,M11,N11,O11),0)</f>
        <v>16</v>
      </c>
      <c r="U11" s="11">
        <v>9</v>
      </c>
      <c r="V11" s="10">
        <v>9</v>
      </c>
      <c r="W11" s="10">
        <v>6</v>
      </c>
      <c r="X11" s="10">
        <v>9</v>
      </c>
      <c r="Y11" s="10">
        <v>9</v>
      </c>
      <c r="Z11" s="10">
        <v>5</v>
      </c>
      <c r="AA11" s="10">
        <v>10</v>
      </c>
      <c r="AB11" s="10">
        <v>9</v>
      </c>
      <c r="AC11" s="10">
        <v>6</v>
      </c>
      <c r="AD11" s="10">
        <v>10</v>
      </c>
      <c r="AE11" s="10">
        <f>(V11+X11+Y11+Z11)/4</f>
        <v>8</v>
      </c>
      <c r="AF11" s="10">
        <f>(U11+AA11)/2</f>
        <v>9.5</v>
      </c>
      <c r="AG11" s="10">
        <f>(W11+AB11+AC11+AD11)/4</f>
        <v>7.75</v>
      </c>
      <c r="AH11" s="10">
        <f>(W11+Z11)/2</f>
        <v>5.5</v>
      </c>
      <c r="AI11" s="10">
        <f>ROUND((V11+W11+Y11)/3,1)</f>
        <v>8</v>
      </c>
      <c r="AJ11" s="10">
        <f>ROUND((X11+AA11+AC11+AD11)/4,1)</f>
        <v>8.8000000000000007</v>
      </c>
      <c r="AK11" s="10">
        <f>AL11-10*MIN(AI11,AJ11,AF11)</f>
        <v>-10.400000000000006</v>
      </c>
      <c r="AL11" s="10">
        <f>ROUND(0.5*(10/3)*(AE11+AF11+AG11)+(1-0.5)*10*MIN(AE11,AF11,AG11,AH11),1)</f>
        <v>69.599999999999994</v>
      </c>
      <c r="AM11" s="10">
        <f>ROUND((10/3)*(AE11+AF11+AG11)-10*MIN(AE11,AF11,AG11,AH11),0)</f>
        <v>29</v>
      </c>
      <c r="AN11" s="10" t="s">
        <v>174</v>
      </c>
      <c r="AO11" s="10">
        <f>(V11+X11+Y11+Z11+C11+E11+F11+G11)/8</f>
        <v>8.375</v>
      </c>
      <c r="AP11" s="10">
        <f>(B11+H11+U11+AA11)/4</f>
        <v>9.5</v>
      </c>
      <c r="AQ11" s="10">
        <f>(W11+AB11+AC11+AD11+D11+I11+J11+K11)/8</f>
        <v>7.625</v>
      </c>
      <c r="AR11" s="10">
        <f>(D11+W11+G11+Z11)/4</f>
        <v>6.25</v>
      </c>
      <c r="AS11" s="10">
        <f>ROUND(0.5*(10/3)*(AO11+AP11+AQ11)+(1-0.5)*10*MIN(AO11,AP11,AQ11,AR11),1)</f>
        <v>73.8</v>
      </c>
      <c r="AT11" s="10">
        <f>ROUND((10/3)*(AO11+AP11+AQ11)-10*MIN(AO11,AP11,AQ11,AR11),0)</f>
        <v>23</v>
      </c>
      <c r="AU11" s="10">
        <v>151</v>
      </c>
      <c r="AV11" s="10">
        <v>12725</v>
      </c>
      <c r="AW11" s="10">
        <v>239</v>
      </c>
      <c r="AX11" s="10">
        <v>597</v>
      </c>
      <c r="AY11" s="17">
        <v>44428</v>
      </c>
      <c r="AZ11" s="10" t="s">
        <v>198</v>
      </c>
      <c r="BA11" s="10" t="s">
        <v>26</v>
      </c>
      <c r="BB11" s="17">
        <v>46121</v>
      </c>
      <c r="BC11" s="10">
        <f>BB11-AY11</f>
        <v>1693</v>
      </c>
      <c r="BD11" s="10">
        <f>ROUND(AV11/BC11,1)</f>
        <v>7.5</v>
      </c>
      <c r="BE11" s="10">
        <f>ROUND(100*AW11/AV11,1)</f>
        <v>1.9</v>
      </c>
      <c r="BF11" s="10">
        <f>ROUND(100*AX11/AV11,1)</f>
        <v>4.7</v>
      </c>
      <c r="BG11" s="10">
        <f>LOOKUP(BC11,$A$47:$A$61,$B$47:$B$61)</f>
        <v>0.98</v>
      </c>
      <c r="BH11" s="10">
        <v>69</v>
      </c>
      <c r="BI11" s="10" t="s">
        <v>220</v>
      </c>
      <c r="BJ11" s="10">
        <f>BD11*BG11</f>
        <v>7.35</v>
      </c>
      <c r="BK11" s="10" t="s">
        <v>231</v>
      </c>
      <c r="BL11" s="3" t="s">
        <v>292</v>
      </c>
      <c r="BM11" s="3" t="s">
        <v>375</v>
      </c>
      <c r="BN11" s="3" t="s">
        <v>376</v>
      </c>
      <c r="BO11" s="3" t="s">
        <v>312</v>
      </c>
      <c r="BP11" s="10" t="s">
        <v>233</v>
      </c>
      <c r="BQ11" s="3" t="s">
        <v>318</v>
      </c>
      <c r="BR11" s="4" t="s">
        <v>103</v>
      </c>
      <c r="BS11" s="19" t="s">
        <v>102</v>
      </c>
    </row>
    <row r="12" spans="1:71" ht="27" customHeight="1" x14ac:dyDescent="0.3">
      <c r="A12" s="4" t="s">
        <v>7</v>
      </c>
      <c r="B12" s="10">
        <v>10</v>
      </c>
      <c r="C12" s="10">
        <v>7</v>
      </c>
      <c r="D12" s="10">
        <v>8</v>
      </c>
      <c r="E12" s="10">
        <v>7.5</v>
      </c>
      <c r="F12" s="10">
        <v>7</v>
      </c>
      <c r="G12" s="10">
        <v>7</v>
      </c>
      <c r="H12" s="10">
        <v>8</v>
      </c>
      <c r="I12" s="10">
        <v>8</v>
      </c>
      <c r="J12" s="10">
        <v>7</v>
      </c>
      <c r="K12" s="10">
        <v>5</v>
      </c>
      <c r="L12" s="10">
        <f>(C12+E12+F12+G12)/4</f>
        <v>7.125</v>
      </c>
      <c r="M12" s="10">
        <f>(B12+H12)/2</f>
        <v>9</v>
      </c>
      <c r="N12" s="10">
        <f>(D12+I12+J12+K12)/4</f>
        <v>7</v>
      </c>
      <c r="O12" s="10">
        <f>(D12+G12)/2</f>
        <v>7.5</v>
      </c>
      <c r="P12" s="10">
        <f>ROUND((1/3)*(C12+D12+F12),1)</f>
        <v>7.3</v>
      </c>
      <c r="Q12" s="10">
        <f>ROUND((1/4)*(E12+H12+J12+K12),1)</f>
        <v>6.9</v>
      </c>
      <c r="R12" s="10">
        <f>S12-10*MIN(P12,Q12,B12)</f>
        <v>4.5</v>
      </c>
      <c r="S12" s="10">
        <f>ROUND(0.5*(10/3)*(L12+M12+N12)+(1-0.5)*10*MIN(L12,M12,N12,O12),1)</f>
        <v>73.5</v>
      </c>
      <c r="T12" s="10">
        <f>ROUND((10/3)*(L12+M12+N12) - 10*MIN(L12,M12,N12,O12),0)</f>
        <v>7</v>
      </c>
      <c r="U12" s="11">
        <v>9</v>
      </c>
      <c r="V12" s="10">
        <v>8</v>
      </c>
      <c r="W12" s="10">
        <v>8</v>
      </c>
      <c r="X12" s="10">
        <v>7</v>
      </c>
      <c r="Y12" s="10">
        <v>7</v>
      </c>
      <c r="Z12" s="10">
        <v>6</v>
      </c>
      <c r="AA12" s="10">
        <v>7</v>
      </c>
      <c r="AB12" s="10">
        <v>8</v>
      </c>
      <c r="AC12" s="10">
        <v>8</v>
      </c>
      <c r="AD12" s="10">
        <v>7</v>
      </c>
      <c r="AE12" s="10">
        <f>(V12+X12+Y12+Z12)/4</f>
        <v>7</v>
      </c>
      <c r="AF12" s="10">
        <f>(U12+AA12)/2</f>
        <v>8</v>
      </c>
      <c r="AG12" s="10">
        <f>(W12+AB12+AC12+AD12)/4</f>
        <v>7.75</v>
      </c>
      <c r="AH12" s="10">
        <f>(W12+Z12)/2</f>
        <v>7</v>
      </c>
      <c r="AI12" s="10">
        <f>ROUND((V12+W12+Y12)/3,1)</f>
        <v>7.7</v>
      </c>
      <c r="AJ12" s="10">
        <f>ROUND((X12+AA12+AC12+AD12)/4,1)</f>
        <v>7.3</v>
      </c>
      <c r="AK12" s="10">
        <f>AL12-10*MIN(AI12,AJ12,AF12)</f>
        <v>-9.9999999999994316E-2</v>
      </c>
      <c r="AL12" s="10">
        <f>ROUND(0.5*(10/3)*(AE12+AF12+AG12)+(1-0.5)*10*MIN(AE12,AF12,AG12,AH12),1)</f>
        <v>72.900000000000006</v>
      </c>
      <c r="AM12" s="10">
        <f>ROUND((10/3)*(AE12+AF12+AG12)-10*MIN(AE12,AF12,AG12,AH12),0)</f>
        <v>6</v>
      </c>
      <c r="AN12" s="10" t="s">
        <v>174</v>
      </c>
      <c r="AO12" s="10">
        <f>(V12+X12+Y12+Z12+C12+E12+F12+G12)/8</f>
        <v>7.0625</v>
      </c>
      <c r="AP12" s="10">
        <f>(B12+H12+U12+AA12)/4</f>
        <v>8.5</v>
      </c>
      <c r="AQ12" s="10">
        <f>(W12+AB12+AC12+AD12+D12+I12+J12+K12)/8</f>
        <v>7.375</v>
      </c>
      <c r="AR12" s="10">
        <f>(D12+W12+G12+Z12)/4</f>
        <v>7.25</v>
      </c>
      <c r="AS12" s="10">
        <f>ROUND(0.5*(10/3)*(AO12+AP12+AQ12)+(1-0.5)*10*MIN(AO12,AP12,AQ12,AR12),1)</f>
        <v>73.5</v>
      </c>
      <c r="AT12" s="10">
        <f>ROUND((10/3)*(AO12+AP12+AQ12)-10*MIN(AO12,AP12,AQ12,AR12),0)</f>
        <v>6</v>
      </c>
      <c r="AU12" s="10">
        <v>146</v>
      </c>
      <c r="AV12" s="10">
        <v>34697</v>
      </c>
      <c r="AW12" s="10">
        <v>846</v>
      </c>
      <c r="AX12" s="10">
        <v>237</v>
      </c>
      <c r="AY12" s="17">
        <v>42614</v>
      </c>
      <c r="AZ12" s="10" t="s">
        <v>198</v>
      </c>
      <c r="BA12" s="10" t="s">
        <v>27</v>
      </c>
      <c r="BB12" s="17">
        <v>46121</v>
      </c>
      <c r="BC12" s="10">
        <f>BB12-AY12</f>
        <v>3507</v>
      </c>
      <c r="BD12" s="10">
        <f>ROUND(AV12/BC12,1)</f>
        <v>9.9</v>
      </c>
      <c r="BE12" s="10">
        <f>ROUND(100*AW12/AV12,1)</f>
        <v>2.4</v>
      </c>
      <c r="BF12" s="10">
        <f>ROUND(100*AX12/AV12,1)</f>
        <v>0.7</v>
      </c>
      <c r="BG12" s="10">
        <f>LOOKUP(BC12,$A$47:$A$61,$B$47:$B$61)</f>
        <v>1</v>
      </c>
      <c r="BH12" s="10">
        <v>72</v>
      </c>
      <c r="BI12" s="10" t="s">
        <v>220</v>
      </c>
      <c r="BJ12" s="10">
        <f>BD12*BG12</f>
        <v>9.9</v>
      </c>
      <c r="BK12" s="10" t="s">
        <v>134</v>
      </c>
      <c r="BL12" s="3" t="s">
        <v>364</v>
      </c>
      <c r="BM12" s="3" t="s">
        <v>226</v>
      </c>
      <c r="BN12" s="3" t="s">
        <v>227</v>
      </c>
      <c r="BO12" s="3" t="s">
        <v>228</v>
      </c>
      <c r="BP12" s="10" t="s">
        <v>225</v>
      </c>
      <c r="BQ12" s="3" t="s">
        <v>269</v>
      </c>
      <c r="BR12" s="4" t="s">
        <v>67</v>
      </c>
      <c r="BS12" s="19" t="s">
        <v>66</v>
      </c>
    </row>
    <row r="13" spans="1:71" ht="42.6" customHeight="1" x14ac:dyDescent="0.3">
      <c r="A13" s="4" t="s">
        <v>14</v>
      </c>
      <c r="B13" s="10">
        <v>10</v>
      </c>
      <c r="C13" s="10">
        <v>8</v>
      </c>
      <c r="D13" s="10">
        <v>8</v>
      </c>
      <c r="E13" s="10">
        <v>7.5</v>
      </c>
      <c r="F13" s="10">
        <v>9</v>
      </c>
      <c r="G13" s="10">
        <v>7</v>
      </c>
      <c r="H13" s="10">
        <v>5</v>
      </c>
      <c r="I13" s="10">
        <v>6</v>
      </c>
      <c r="J13" s="10">
        <v>6</v>
      </c>
      <c r="K13" s="10">
        <v>8</v>
      </c>
      <c r="L13" s="10">
        <f>(C13+E13+F13+G13)/4</f>
        <v>7.875</v>
      </c>
      <c r="M13" s="10">
        <f>(B13+H13)/2</f>
        <v>7.5</v>
      </c>
      <c r="N13" s="10">
        <f>(D13+I13+J13+K13)/4</f>
        <v>7</v>
      </c>
      <c r="O13" s="10">
        <f>(D13+G13)/2</f>
        <v>7.5</v>
      </c>
      <c r="P13" s="10">
        <f>ROUND((1/3)*(C13+D13+F13),1)</f>
        <v>8.3000000000000007</v>
      </c>
      <c r="Q13" s="10">
        <f>ROUND((1/4)*(E13+H13+J13+K13),1)</f>
        <v>6.6</v>
      </c>
      <c r="R13" s="10">
        <f>S13-10*MIN(P13,Q13,B13)</f>
        <v>6.2999999999999972</v>
      </c>
      <c r="S13" s="10">
        <f>ROUND(0.5*(10/3)*(L13+M13+N13)+(1-0.5)*10*MIN(L13,M13,N13,O13),1)</f>
        <v>72.3</v>
      </c>
      <c r="T13" s="10">
        <f>ROUND((10/3)*(L13+M13+N13) - 10*MIN(L13,M13,N13,O13),0)</f>
        <v>5</v>
      </c>
      <c r="U13" s="11">
        <v>10</v>
      </c>
      <c r="V13" s="10">
        <v>7</v>
      </c>
      <c r="W13" s="10">
        <v>8</v>
      </c>
      <c r="X13" s="10">
        <v>8</v>
      </c>
      <c r="Y13" s="10">
        <v>9</v>
      </c>
      <c r="Z13" s="10">
        <v>5</v>
      </c>
      <c r="AA13" s="10">
        <v>8</v>
      </c>
      <c r="AB13" s="10">
        <v>7</v>
      </c>
      <c r="AC13" s="10">
        <v>6</v>
      </c>
      <c r="AD13" s="10">
        <v>8</v>
      </c>
      <c r="AE13" s="10">
        <f>(V13+X13+Y13+Z13)/4</f>
        <v>7.25</v>
      </c>
      <c r="AF13" s="10">
        <f>(U13+AA13)/2</f>
        <v>9</v>
      </c>
      <c r="AG13" s="10">
        <f>(W13+AB13+AC13+AD13)/4</f>
        <v>7.25</v>
      </c>
      <c r="AH13" s="10">
        <f>(W13+Z13)/2</f>
        <v>6.5</v>
      </c>
      <c r="AI13" s="10">
        <f>ROUND((V13+W13+Y13)/3,1)</f>
        <v>8</v>
      </c>
      <c r="AJ13" s="10">
        <f>ROUND((X13+AA13+AC13+AD13)/4,1)</f>
        <v>7.5</v>
      </c>
      <c r="AK13" s="10">
        <f>AL13-10*MIN(AI13,AJ13,AF13)</f>
        <v>-3.2999999999999972</v>
      </c>
      <c r="AL13" s="10">
        <f>ROUND(0.5*(10/3)*(AE13+AF13+AG13)+(1-0.5)*10*MIN(AE13,AF13,AG13,AH13),1)</f>
        <v>71.7</v>
      </c>
      <c r="AM13" s="10">
        <f>ROUND((10/3)*(AE13+AF13+AG13)-10*MIN(AE13,AF13,AG13,AH13),0)</f>
        <v>13</v>
      </c>
      <c r="AN13" s="10" t="s">
        <v>174</v>
      </c>
      <c r="AO13" s="10">
        <f>(V13+X13+Y13+Z13+C13+E13+F13+G13)/8</f>
        <v>7.5625</v>
      </c>
      <c r="AP13" s="10">
        <f>(B13+H13+U13+AA13)/4</f>
        <v>8.25</v>
      </c>
      <c r="AQ13" s="10">
        <f>(W13+AB13+AC13+AD13+D13+I13+J13+K13)/8</f>
        <v>7.125</v>
      </c>
      <c r="AR13" s="10">
        <f>(D13+W13+G13+Z13)/4</f>
        <v>7</v>
      </c>
      <c r="AS13" s="10">
        <f>ROUND(0.5*(10/3)*(AO13+AP13+AQ13)+(1-0.5)*10*MIN(AO13,AP13,AQ13,AR13),1)</f>
        <v>73.2</v>
      </c>
      <c r="AT13" s="10">
        <f>ROUND((10/3)*(AO13+AP13+AQ13)-10*MIN(AO13,AP13,AQ13,AR13),0)</f>
        <v>6</v>
      </c>
      <c r="AU13" s="10">
        <v>110</v>
      </c>
      <c r="AV13" s="10">
        <v>44624</v>
      </c>
      <c r="AW13" s="10">
        <v>1168</v>
      </c>
      <c r="AX13" s="10">
        <v>471</v>
      </c>
      <c r="AY13" s="17">
        <v>44824</v>
      </c>
      <c r="AZ13" s="10" t="s">
        <v>200</v>
      </c>
      <c r="BA13" s="10" t="s">
        <v>25</v>
      </c>
      <c r="BB13" s="17">
        <v>46121</v>
      </c>
      <c r="BC13" s="10">
        <f>BB13-AY13</f>
        <v>1297</v>
      </c>
      <c r="BD13" s="10">
        <f>ROUND(AV13/BC13,1)</f>
        <v>34.4</v>
      </c>
      <c r="BE13" s="10">
        <f>ROUND(100*AW13/AV13,1)</f>
        <v>2.6</v>
      </c>
      <c r="BF13" s="10">
        <f>ROUND(100*AX13/AV13,1)</f>
        <v>1.1000000000000001</v>
      </c>
      <c r="BG13" s="10">
        <f>LOOKUP(BC13,$A$47:$A$61,$B$47:$B$61)</f>
        <v>0.97</v>
      </c>
      <c r="BH13" s="10">
        <v>79</v>
      </c>
      <c r="BI13" s="10" t="s">
        <v>220</v>
      </c>
      <c r="BJ13" s="10">
        <f>BD13*BG13</f>
        <v>33.367999999999995</v>
      </c>
      <c r="BK13" s="10" t="s">
        <v>134</v>
      </c>
      <c r="BL13" s="3" t="s">
        <v>296</v>
      </c>
      <c r="BM13" s="3" t="s">
        <v>297</v>
      </c>
      <c r="BN13" s="3" t="s">
        <v>340</v>
      </c>
      <c r="BO13" s="3" t="s">
        <v>339</v>
      </c>
      <c r="BP13" s="10" t="s">
        <v>222</v>
      </c>
      <c r="BQ13" s="3" t="s">
        <v>322</v>
      </c>
      <c r="BR13" s="4" t="s">
        <v>113</v>
      </c>
      <c r="BS13" s="19" t="s">
        <v>112</v>
      </c>
    </row>
    <row r="14" spans="1:71" ht="41.4" customHeight="1" x14ac:dyDescent="0.3">
      <c r="A14" s="4" t="s">
        <v>128</v>
      </c>
      <c r="B14" s="10">
        <v>10</v>
      </c>
      <c r="C14" s="10">
        <v>9</v>
      </c>
      <c r="D14" s="10">
        <v>8</v>
      </c>
      <c r="E14" s="10">
        <v>8.5</v>
      </c>
      <c r="F14" s="10">
        <v>9</v>
      </c>
      <c r="G14" s="10">
        <v>7</v>
      </c>
      <c r="H14" s="10">
        <v>5</v>
      </c>
      <c r="I14" s="10">
        <v>6</v>
      </c>
      <c r="J14" s="10">
        <v>8</v>
      </c>
      <c r="K14" s="10">
        <v>5</v>
      </c>
      <c r="L14" s="10">
        <f>(C14+E14+F14+G14)/4</f>
        <v>8.375</v>
      </c>
      <c r="M14" s="10">
        <f>(B14+H14)/2</f>
        <v>7.5</v>
      </c>
      <c r="N14" s="10">
        <f>(D14+I14+J14+K14)/4</f>
        <v>6.75</v>
      </c>
      <c r="O14" s="10">
        <f>(D14+G14)/2</f>
        <v>7.5</v>
      </c>
      <c r="P14" s="10">
        <f>ROUND((1/3)*(C14+D14+F14),1)</f>
        <v>8.6999999999999993</v>
      </c>
      <c r="Q14" s="10">
        <f>ROUND((1/4)*(E14+H14+J14+K14),1)</f>
        <v>6.6</v>
      </c>
      <c r="R14" s="10">
        <f>S14-10*MIN(P14,Q14,B14)</f>
        <v>5.5</v>
      </c>
      <c r="S14" s="10">
        <f>ROUND(0.5*(10/3)*(L14+M14+N14)+(1-0.5)*10*MIN(L14,M14,N14,O14),1)</f>
        <v>71.5</v>
      </c>
      <c r="T14" s="10">
        <f>ROUND((10/3)*(L14+M14+N14) - 10*MIN(L14,M14,N14,O14),0)</f>
        <v>8</v>
      </c>
      <c r="U14" s="11">
        <v>9</v>
      </c>
      <c r="V14" s="10">
        <v>9</v>
      </c>
      <c r="W14" s="10">
        <v>8</v>
      </c>
      <c r="X14" s="10">
        <v>7</v>
      </c>
      <c r="Y14" s="10">
        <v>9</v>
      </c>
      <c r="Z14" s="10">
        <v>8</v>
      </c>
      <c r="AA14" s="10">
        <v>5</v>
      </c>
      <c r="AB14" s="10">
        <v>8</v>
      </c>
      <c r="AC14" s="10">
        <v>8</v>
      </c>
      <c r="AD14" s="10">
        <v>5</v>
      </c>
      <c r="AE14" s="10">
        <f>(V14+X14+Y14+Z14)/4</f>
        <v>8.25</v>
      </c>
      <c r="AF14" s="10">
        <f>(U14+AA14)/2</f>
        <v>7</v>
      </c>
      <c r="AG14" s="10">
        <f>(W14+AB14+AC14+AD14)/4</f>
        <v>7.25</v>
      </c>
      <c r="AH14" s="10">
        <f>(W14+Z14)/2</f>
        <v>8</v>
      </c>
      <c r="AI14" s="10">
        <f>ROUND((V14+W14+Y14)/3,1)</f>
        <v>8.6999999999999993</v>
      </c>
      <c r="AJ14" s="10">
        <f>ROUND((X14+AA14+AC14+AD14)/4,1)</f>
        <v>6.3</v>
      </c>
      <c r="AK14" s="10">
        <f>AL14-10*MIN(AI14,AJ14,AF14)</f>
        <v>9.5</v>
      </c>
      <c r="AL14" s="10">
        <f>ROUND(0.5*(10/3)*(AE14+AF14+AG14)+(1-0.5)*10*MIN(AE14,AF14,AG14,AH14),1)</f>
        <v>72.5</v>
      </c>
      <c r="AM14" s="10">
        <f>ROUND((10/3)*(AE14+AF14+AG14)-10*MIN(AE14,AF14,AG14,AH14),0)</f>
        <v>5</v>
      </c>
      <c r="AN14" s="10" t="s">
        <v>174</v>
      </c>
      <c r="AO14" s="10">
        <f>(V14+X14+Y14+Z14+C14+E14+F14+G14)/8</f>
        <v>8.3125</v>
      </c>
      <c r="AP14" s="10">
        <f>(B14+H14+U14+AA14)/4</f>
        <v>7.25</v>
      </c>
      <c r="AQ14" s="10">
        <f>(W14+AB14+AC14+AD14+D14+I14+J14+K14)/8</f>
        <v>7</v>
      </c>
      <c r="AR14" s="10">
        <f>(D14+W14+G14+Z14)/4</f>
        <v>7.75</v>
      </c>
      <c r="AS14" s="10">
        <f>ROUND(0.5*(10/3)*(AO14+AP14+AQ14)+(1-0.5)*10*MIN(AO14,AP14,AQ14,AR14),1)</f>
        <v>72.599999999999994</v>
      </c>
      <c r="AT14" s="10">
        <f>ROUND((10/3)*(AO14+AP14+AQ14)-10*MIN(AO14,AP14,AQ14,AR14),0)</f>
        <v>5</v>
      </c>
      <c r="AU14" s="10">
        <v>47</v>
      </c>
      <c r="AV14" s="10">
        <v>10247</v>
      </c>
      <c r="AW14" s="10">
        <v>518</v>
      </c>
      <c r="AX14" s="10">
        <v>149</v>
      </c>
      <c r="AY14" s="17">
        <v>44272</v>
      </c>
      <c r="AZ14" s="10" t="s">
        <v>198</v>
      </c>
      <c r="BA14" s="10" t="s">
        <v>281</v>
      </c>
      <c r="BB14" s="17">
        <v>46121</v>
      </c>
      <c r="BC14" s="10">
        <f>BB14-AY14</f>
        <v>1849</v>
      </c>
      <c r="BD14" s="10">
        <f>ROUND(AV14/BC14,1)</f>
        <v>5.5</v>
      </c>
      <c r="BE14" s="10">
        <f>ROUND(100*AW14/AV14,1)</f>
        <v>5.0999999999999996</v>
      </c>
      <c r="BF14" s="10">
        <f>ROUND(100*AX14/AV14,1)</f>
        <v>1.5</v>
      </c>
      <c r="BG14" s="10">
        <f>LOOKUP(BC14,$A$47:$A$61,$B$47:$B$61)</f>
        <v>0.99</v>
      </c>
      <c r="BH14" s="10">
        <v>73</v>
      </c>
      <c r="BI14" s="10" t="s">
        <v>220</v>
      </c>
      <c r="BJ14" s="10">
        <f>BD14*BG14</f>
        <v>5.4450000000000003</v>
      </c>
      <c r="BK14" s="10" t="s">
        <v>134</v>
      </c>
      <c r="BL14" s="3" t="s">
        <v>358</v>
      </c>
      <c r="BM14" s="3" t="s">
        <v>359</v>
      </c>
      <c r="BN14" s="3" t="s">
        <v>257</v>
      </c>
      <c r="BO14" s="3" t="s">
        <v>258</v>
      </c>
      <c r="BP14" s="10" t="s">
        <v>281</v>
      </c>
      <c r="BQ14" s="3" t="s">
        <v>282</v>
      </c>
      <c r="BR14" s="4" t="s">
        <v>130</v>
      </c>
      <c r="BS14" s="19" t="s">
        <v>129</v>
      </c>
    </row>
    <row r="15" spans="1:71" ht="29.4" customHeight="1" x14ac:dyDescent="0.3">
      <c r="A15" s="4" t="s">
        <v>30</v>
      </c>
      <c r="B15" s="10">
        <v>8</v>
      </c>
      <c r="C15" s="10">
        <v>8</v>
      </c>
      <c r="D15" s="10">
        <v>8</v>
      </c>
      <c r="E15" s="10">
        <v>8</v>
      </c>
      <c r="F15" s="10">
        <v>3</v>
      </c>
      <c r="G15" s="10">
        <v>5</v>
      </c>
      <c r="H15" s="10">
        <v>8</v>
      </c>
      <c r="I15" s="10">
        <v>8</v>
      </c>
      <c r="J15" s="10">
        <v>7</v>
      </c>
      <c r="K15" s="10">
        <v>7</v>
      </c>
      <c r="L15" s="10">
        <f>(C15+E15+F15+G15)/4</f>
        <v>6</v>
      </c>
      <c r="M15" s="10">
        <f>(B15+H15)/2</f>
        <v>8</v>
      </c>
      <c r="N15" s="10">
        <f>(D15+I15+J15+K15)/4</f>
        <v>7.5</v>
      </c>
      <c r="O15" s="10">
        <f>(D15+G15)/2</f>
        <v>6.5</v>
      </c>
      <c r="P15" s="10">
        <f>ROUND((1/3)*(C15+D15+F15),1)</f>
        <v>6.3</v>
      </c>
      <c r="Q15" s="10">
        <f>ROUND((1/4)*(E15+H15+J15+K15),1)</f>
        <v>7.5</v>
      </c>
      <c r="R15" s="10">
        <f>S15-10*MIN(P15,Q15,B15)</f>
        <v>2.7999999999999972</v>
      </c>
      <c r="S15" s="10">
        <f>ROUND(0.5*(10/3)*(L15+M15+N15)+(1-0.5)*10*MIN(L15,M15,N15,O15),1)</f>
        <v>65.8</v>
      </c>
      <c r="T15" s="10">
        <f>ROUND((10/3)*(L15+M15+N15) - 10*MIN(L15,M15,N15,O15),0)</f>
        <v>12</v>
      </c>
      <c r="U15" s="11">
        <v>6</v>
      </c>
      <c r="V15" s="10">
        <v>9</v>
      </c>
      <c r="W15" s="10">
        <v>9</v>
      </c>
      <c r="X15" s="10">
        <v>8</v>
      </c>
      <c r="Y15" s="10">
        <v>8</v>
      </c>
      <c r="Z15" s="10">
        <v>8</v>
      </c>
      <c r="AA15" s="10">
        <v>7</v>
      </c>
      <c r="AB15" s="10">
        <v>8</v>
      </c>
      <c r="AC15" s="10">
        <v>6</v>
      </c>
      <c r="AD15" s="10">
        <v>7</v>
      </c>
      <c r="AE15" s="10">
        <f>(V15+X15+Y15+Z15)/4</f>
        <v>8.25</v>
      </c>
      <c r="AF15" s="10">
        <f>(U15+AA15)/2</f>
        <v>6.5</v>
      </c>
      <c r="AG15" s="10">
        <f>(W15+AB15+AC15+AD15)/4</f>
        <v>7.5</v>
      </c>
      <c r="AH15" s="10">
        <f>(W15+Z15)/2</f>
        <v>8.5</v>
      </c>
      <c r="AI15" s="10">
        <f>ROUND((V15+W15+Y15)/3,1)</f>
        <v>8.6999999999999993</v>
      </c>
      <c r="AJ15" s="10">
        <f>ROUND((X15+AA15+AC15+AD15)/4,1)</f>
        <v>7</v>
      </c>
      <c r="AK15" s="10">
        <f>AL15-10*MIN(AI15,AJ15,AF15)</f>
        <v>4.5999999999999943</v>
      </c>
      <c r="AL15" s="10">
        <f>ROUND(0.5*(10/3)*(AE15+AF15+AG15)+(1-0.5)*10*MIN(AE15,AF15,AG15,AH15),1)</f>
        <v>69.599999999999994</v>
      </c>
      <c r="AM15" s="10">
        <f>ROUND((10/3)*(AE15+AF15+AG15)-10*MIN(AE15,AF15,AG15,AH15),0)</f>
        <v>9</v>
      </c>
      <c r="AN15" s="10" t="s">
        <v>71</v>
      </c>
      <c r="AO15" s="10">
        <f>(V15+X15+Y15+Z15+C15+E15+F15+G15)/8</f>
        <v>7.125</v>
      </c>
      <c r="AP15" s="10">
        <f>(B15+H15+U15+AA15)/4</f>
        <v>7.25</v>
      </c>
      <c r="AQ15" s="10">
        <f>(W15+AB15+AC15+AD15+D15+I15+J15+K15)/8</f>
        <v>7.5</v>
      </c>
      <c r="AR15" s="10">
        <f>(D15+W15+G15+Z15)/4</f>
        <v>7.5</v>
      </c>
      <c r="AS15" s="10">
        <f>ROUND(0.5*(10/3)*(AO15+AP15+AQ15)+(1-0.5)*10*MIN(AO15,AP15,AQ15,AR15),1)</f>
        <v>72.099999999999994</v>
      </c>
      <c r="AT15" s="10">
        <f>ROUND((10/3)*(AO15+AP15+AQ15)-10*MIN(AO15,AP15,AQ15,AR15),0)</f>
        <v>2</v>
      </c>
      <c r="AU15" s="10"/>
      <c r="AV15" s="10"/>
      <c r="AW15" s="10"/>
      <c r="AX15" s="10"/>
      <c r="AY15" s="10"/>
      <c r="AZ15" s="10"/>
      <c r="BA15" s="10" t="s">
        <v>216</v>
      </c>
      <c r="BB15" s="10"/>
      <c r="BC15" s="10">
        <f>BB15-AY15</f>
        <v>0</v>
      </c>
      <c r="BD15" s="10" t="e">
        <f>ROUND(AV15/BC15,1)</f>
        <v>#DIV/0!</v>
      </c>
      <c r="BE15" s="10" t="e">
        <f>ROUND(100*AW15/AV15,1)</f>
        <v>#DIV/0!</v>
      </c>
      <c r="BF15" s="8" t="e">
        <f>ROUND(100*AX15/AV15,1)</f>
        <v>#DIV/0!</v>
      </c>
      <c r="BG15" s="10">
        <f>LOOKUP(BC15,$A$47:$A$61,$B$47:$B$61)</f>
        <v>0</v>
      </c>
      <c r="BH15" s="10"/>
      <c r="BI15" s="10"/>
      <c r="BJ15" s="10" t="e">
        <f>BD15*BG15</f>
        <v>#DIV/0!</v>
      </c>
      <c r="BK15" s="10"/>
      <c r="BL15" s="3"/>
      <c r="BM15" s="3"/>
      <c r="BN15" s="3"/>
      <c r="BO15" s="3"/>
      <c r="BP15" s="10"/>
      <c r="BQ15" s="3"/>
      <c r="BR15" s="4" t="s">
        <v>115</v>
      </c>
      <c r="BS15" s="20" t="s">
        <v>71</v>
      </c>
    </row>
    <row r="16" spans="1:71" ht="42.6" customHeight="1" x14ac:dyDescent="0.3">
      <c r="A16" s="4" t="s">
        <v>123</v>
      </c>
      <c r="B16" s="10">
        <v>10</v>
      </c>
      <c r="C16" s="10">
        <v>9</v>
      </c>
      <c r="D16" s="10">
        <v>6</v>
      </c>
      <c r="E16" s="10">
        <v>8</v>
      </c>
      <c r="F16" s="10">
        <v>8</v>
      </c>
      <c r="G16" s="10">
        <v>8</v>
      </c>
      <c r="H16" s="10">
        <v>10</v>
      </c>
      <c r="I16" s="10">
        <v>7</v>
      </c>
      <c r="J16" s="10">
        <v>7</v>
      </c>
      <c r="K16" s="10">
        <v>8</v>
      </c>
      <c r="L16" s="10">
        <f>(C16+E16+F16+G16)/4</f>
        <v>8.25</v>
      </c>
      <c r="M16" s="10">
        <f>(B16+H16)/2</f>
        <v>10</v>
      </c>
      <c r="N16" s="10">
        <f>(D16+I16+J16+K16)/4</f>
        <v>7</v>
      </c>
      <c r="O16" s="10">
        <f>(D16+G16)/2</f>
        <v>7</v>
      </c>
      <c r="P16" s="10">
        <f>ROUND((1/3)*(C16+D16+F16),1)</f>
        <v>7.7</v>
      </c>
      <c r="Q16" s="10">
        <f>ROUND((1/4)*(E16+H16+J16+K16),1)</f>
        <v>8.3000000000000007</v>
      </c>
      <c r="R16" s="10">
        <f>S16-10*MIN(P16,Q16,B16)</f>
        <v>9.9999999999994316E-2</v>
      </c>
      <c r="S16" s="10">
        <f>ROUND(0.5*(10/3)*(L16+M16+N16)+(1-0.5)*10*MIN(L16,M16,N16,O16),1)</f>
        <v>77.099999999999994</v>
      </c>
      <c r="T16" s="10">
        <f>ROUND((10/3)*(L16+M16+N16) - 10*MIN(L16,M16,N16,O16),0)</f>
        <v>14</v>
      </c>
      <c r="U16" s="11">
        <v>10</v>
      </c>
      <c r="V16" s="10">
        <v>9</v>
      </c>
      <c r="W16" s="10">
        <v>7</v>
      </c>
      <c r="X16" s="10">
        <v>9</v>
      </c>
      <c r="Y16" s="10">
        <v>9</v>
      </c>
      <c r="Z16" s="10">
        <v>3</v>
      </c>
      <c r="AA16" s="10">
        <v>9</v>
      </c>
      <c r="AB16" s="10">
        <v>8</v>
      </c>
      <c r="AC16" s="10">
        <v>5</v>
      </c>
      <c r="AD16" s="10">
        <v>10</v>
      </c>
      <c r="AE16" s="10">
        <f>(V16+X16+Y16+Z16)/4</f>
        <v>7.5</v>
      </c>
      <c r="AF16" s="10">
        <f>(U16+AA16)/2</f>
        <v>9.5</v>
      </c>
      <c r="AG16" s="10">
        <f>(W16+AB16+AC16+AD16)/4</f>
        <v>7.5</v>
      </c>
      <c r="AH16" s="10">
        <f>(W16+Z16)/2</f>
        <v>5</v>
      </c>
      <c r="AI16" s="10">
        <f>ROUND((V16+W16+Y16)/3,1)</f>
        <v>8.3000000000000007</v>
      </c>
      <c r="AJ16" s="10">
        <f>ROUND((X16+AA16+AC16+AD16)/4,1)</f>
        <v>8.3000000000000007</v>
      </c>
      <c r="AK16" s="10">
        <f>AL16-10*MIN(AI16,AJ16,AF16)</f>
        <v>-17.200000000000003</v>
      </c>
      <c r="AL16" s="10">
        <f>ROUND(0.5*(10/3)*(AE16+AF16+AG16)+(1-0.5)*10*MIN(AE16,AF16,AG16,AH16),1)</f>
        <v>65.8</v>
      </c>
      <c r="AM16" s="10">
        <f>ROUND((10/3)*(AE16+AF16+AG16)-10*MIN(AE16,AF16,AG16,AH16),0)</f>
        <v>32</v>
      </c>
      <c r="AN16" s="10" t="s">
        <v>174</v>
      </c>
      <c r="AO16" s="10">
        <f>(V16+X16+Y16+Z16+C16+E16+F16+G16)/8</f>
        <v>7.875</v>
      </c>
      <c r="AP16" s="10">
        <f>(B16+H16+U16+AA16)/4</f>
        <v>9.75</v>
      </c>
      <c r="AQ16" s="10">
        <f>(W16+AB16+AC16+AD16+D16+I16+J16+K16)/8</f>
        <v>7.25</v>
      </c>
      <c r="AR16" s="10">
        <f>(D16+W16+G16+Z16)/4</f>
        <v>6</v>
      </c>
      <c r="AS16" s="10">
        <f>ROUND(0.5*(10/3)*(AO16+AP16+AQ16)+(1-0.5)*10*MIN(AO16,AP16,AQ16,AR16),1)</f>
        <v>71.5</v>
      </c>
      <c r="AT16" s="10">
        <f>ROUND((10/3)*(AO16+AP16+AQ16)-10*MIN(AO16,AP16,AQ16,AR16),0)</f>
        <v>23</v>
      </c>
      <c r="AU16" s="10">
        <v>189</v>
      </c>
      <c r="AV16" s="10">
        <v>55616</v>
      </c>
      <c r="AW16" s="10">
        <v>793</v>
      </c>
      <c r="AX16" s="10">
        <v>419</v>
      </c>
      <c r="AY16" s="17">
        <v>44147</v>
      </c>
      <c r="AZ16" s="10" t="s">
        <v>198</v>
      </c>
      <c r="BA16" s="10" t="s">
        <v>27</v>
      </c>
      <c r="BB16" s="17">
        <v>46121</v>
      </c>
      <c r="BC16" s="10">
        <f>BB16-AY16</f>
        <v>1974</v>
      </c>
      <c r="BD16" s="10">
        <f>ROUND(AV16/BC16,1)</f>
        <v>28.2</v>
      </c>
      <c r="BE16" s="10">
        <f>ROUND(100*AW16/AV16,1)</f>
        <v>1.4</v>
      </c>
      <c r="BF16" s="10">
        <f>ROUND(100*AX16/AV16,1)</f>
        <v>0.8</v>
      </c>
      <c r="BG16" s="10">
        <f>LOOKUP(BC16,$A$47:$A$61,$B$47:$B$61)</f>
        <v>0.99</v>
      </c>
      <c r="BH16" s="10">
        <v>69</v>
      </c>
      <c r="BI16" s="10" t="s">
        <v>220</v>
      </c>
      <c r="BJ16" s="10">
        <f>BD16*BG16</f>
        <v>27.917999999999999</v>
      </c>
      <c r="BK16" s="10" t="s">
        <v>231</v>
      </c>
      <c r="BL16" s="3" t="s">
        <v>365</v>
      </c>
      <c r="BM16" s="3" t="s">
        <v>366</v>
      </c>
      <c r="BN16" s="3" t="s">
        <v>249</v>
      </c>
      <c r="BO16" s="3" t="s">
        <v>367</v>
      </c>
      <c r="BP16" s="10" t="s">
        <v>225</v>
      </c>
      <c r="BQ16" s="3" t="s">
        <v>277</v>
      </c>
      <c r="BR16" s="4" t="s">
        <v>84</v>
      </c>
      <c r="BS16" s="19" t="s">
        <v>83</v>
      </c>
    </row>
    <row r="17" spans="1:71" ht="28.8" customHeight="1" x14ac:dyDescent="0.3">
      <c r="A17" s="4" t="s">
        <v>0</v>
      </c>
      <c r="B17" s="10">
        <v>8</v>
      </c>
      <c r="C17" s="10">
        <v>8</v>
      </c>
      <c r="D17" s="10">
        <v>9</v>
      </c>
      <c r="E17" s="10">
        <v>7</v>
      </c>
      <c r="F17" s="10">
        <v>8</v>
      </c>
      <c r="G17" s="10">
        <v>6</v>
      </c>
      <c r="H17" s="10">
        <v>7</v>
      </c>
      <c r="I17" s="10">
        <v>8</v>
      </c>
      <c r="J17" s="10">
        <v>8</v>
      </c>
      <c r="K17" s="10">
        <v>7</v>
      </c>
      <c r="L17" s="10">
        <f>(C17+E17+F17+G17)/4</f>
        <v>7.25</v>
      </c>
      <c r="M17" s="10">
        <f>(B17+H17)/2</f>
        <v>7.5</v>
      </c>
      <c r="N17" s="10">
        <f>(D17+I17+J17+K17)/4</f>
        <v>8</v>
      </c>
      <c r="O17" s="10">
        <f>(D17+G17)/2</f>
        <v>7.5</v>
      </c>
      <c r="P17" s="10">
        <f>ROUND((1/3)*(C17+D17+F17),1)</f>
        <v>8.3000000000000007</v>
      </c>
      <c r="Q17" s="10">
        <f>ROUND((1/4)*(E17+H17+J17+K17),1)</f>
        <v>7.3</v>
      </c>
      <c r="R17" s="10">
        <f>S17-10*MIN(P17,Q17,B17)</f>
        <v>1.2000000000000028</v>
      </c>
      <c r="S17" s="10">
        <f>ROUND(0.5*(10/3)*(L17+M17+N17)+(1-0.5)*10*MIN(L17,M17,N17,O17),1)</f>
        <v>74.2</v>
      </c>
      <c r="T17" s="10">
        <f>ROUND((10/3)*(L17+M17+N17) - 10*MIN(L17,M17,N17,O17),0)</f>
        <v>3</v>
      </c>
      <c r="U17" s="11">
        <v>8</v>
      </c>
      <c r="V17" s="10">
        <v>8</v>
      </c>
      <c r="W17" s="10">
        <v>8</v>
      </c>
      <c r="X17" s="10">
        <v>6</v>
      </c>
      <c r="Y17" s="10">
        <v>7</v>
      </c>
      <c r="Z17" s="10">
        <v>5</v>
      </c>
      <c r="AA17" s="10">
        <v>7</v>
      </c>
      <c r="AB17" s="10">
        <v>8</v>
      </c>
      <c r="AC17" s="10">
        <v>7</v>
      </c>
      <c r="AD17" s="10">
        <v>7</v>
      </c>
      <c r="AE17" s="10">
        <f>(V17+X17+Y17+Z17)/4</f>
        <v>6.5</v>
      </c>
      <c r="AF17" s="10">
        <f>(U17+AA17)/2</f>
        <v>7.5</v>
      </c>
      <c r="AG17" s="10">
        <f>(W17+AB17+AC17+AD17)/4</f>
        <v>7.5</v>
      </c>
      <c r="AH17" s="10">
        <f>(W17+Z17)/2</f>
        <v>6.5</v>
      </c>
      <c r="AI17" s="10">
        <f>ROUND((V17+W17+Y17)/3,1)</f>
        <v>7.7</v>
      </c>
      <c r="AJ17" s="10">
        <f>ROUND((X17+AA17+AC17+AD17)/4,1)</f>
        <v>6.8</v>
      </c>
      <c r="AK17" s="10">
        <f>AL17-10*MIN(AI17,AJ17,AF17)</f>
        <v>0.29999999999999716</v>
      </c>
      <c r="AL17" s="10">
        <f>ROUND(0.5*(10/3)*(AE17+AF17+AG17)+(1-0.5)*10*MIN(AE17,AF17,AG17,AH17),1)</f>
        <v>68.3</v>
      </c>
      <c r="AM17" s="10">
        <f>ROUND((10/3)*(AE17+AF17+AG17)-10*MIN(AE17,AF17,AG17,AH17),0)</f>
        <v>7</v>
      </c>
      <c r="AN17" s="10" t="s">
        <v>174</v>
      </c>
      <c r="AO17" s="10">
        <f>(V17+X17+Y17+Z17+C17+E17+F17+G17)/8</f>
        <v>6.875</v>
      </c>
      <c r="AP17" s="10">
        <f>(B17+H17+U17+AA17)/4</f>
        <v>7.5</v>
      </c>
      <c r="AQ17" s="10">
        <f>(W17+AB17+AC17+AD17+D17+I17+J17+K17)/8</f>
        <v>7.75</v>
      </c>
      <c r="AR17" s="10">
        <f>(D17+W17+G17+Z17)/4</f>
        <v>7</v>
      </c>
      <c r="AS17" s="10">
        <f>ROUND(0.5*(10/3)*(AO17+AP17+AQ17)+(1-0.5)*10*MIN(AO17,AP17,AQ17,AR17),1)</f>
        <v>71.3</v>
      </c>
      <c r="AT17" s="10">
        <f>ROUND((10/3)*(AO17+AP17+AQ17)-10*MIN(AO17,AP17,AQ17,AR17),0)</f>
        <v>5</v>
      </c>
      <c r="AU17" s="10">
        <v>121</v>
      </c>
      <c r="AV17" s="10">
        <v>8100</v>
      </c>
      <c r="AW17" s="10">
        <v>307</v>
      </c>
      <c r="AX17" s="10">
        <v>296</v>
      </c>
      <c r="AY17" s="17">
        <v>46061</v>
      </c>
      <c r="AZ17" s="10" t="s">
        <v>200</v>
      </c>
      <c r="BA17" s="10" t="s">
        <v>25</v>
      </c>
      <c r="BB17" s="17">
        <v>46121</v>
      </c>
      <c r="BC17" s="10">
        <f>BB17-AY17</f>
        <v>60</v>
      </c>
      <c r="BD17" s="10">
        <f>ROUND(AV17/BC17,1)</f>
        <v>135</v>
      </c>
      <c r="BE17" s="10">
        <f>ROUND(100*AW17/AV17,1)</f>
        <v>3.8</v>
      </c>
      <c r="BF17" s="10">
        <f>ROUND(100*AX17/AV17,1)</f>
        <v>3.7</v>
      </c>
      <c r="BG17" s="10">
        <f>LOOKUP(BC17,$A$47:$A$61,$B$47:$B$61)</f>
        <v>0.4</v>
      </c>
      <c r="BH17" s="10">
        <v>76</v>
      </c>
      <c r="BI17" s="10" t="s">
        <v>220</v>
      </c>
      <c r="BJ17" s="10">
        <f>BD17*BG17</f>
        <v>54</v>
      </c>
      <c r="BK17" s="10" t="s">
        <v>134</v>
      </c>
      <c r="BL17" s="3" t="s">
        <v>329</v>
      </c>
      <c r="BM17" s="3" t="s">
        <v>235</v>
      </c>
      <c r="BN17" s="3" t="s">
        <v>241</v>
      </c>
      <c r="BO17" s="3" t="s">
        <v>242</v>
      </c>
      <c r="BP17" s="10" t="s">
        <v>222</v>
      </c>
      <c r="BQ17" s="3" t="s">
        <v>274</v>
      </c>
      <c r="BR17" s="4" t="s">
        <v>78</v>
      </c>
      <c r="BS17" s="19" t="s">
        <v>77</v>
      </c>
    </row>
    <row r="18" spans="1:71" ht="27" customHeight="1" x14ac:dyDescent="0.3">
      <c r="A18" s="4" t="s">
        <v>3</v>
      </c>
      <c r="B18" s="10">
        <v>10</v>
      </c>
      <c r="C18" s="10">
        <v>8</v>
      </c>
      <c r="D18" s="10">
        <v>7</v>
      </c>
      <c r="E18" s="10">
        <v>7.5</v>
      </c>
      <c r="F18" s="10">
        <v>7</v>
      </c>
      <c r="G18" s="10">
        <v>6</v>
      </c>
      <c r="H18" s="10">
        <v>8</v>
      </c>
      <c r="I18" s="10">
        <v>8</v>
      </c>
      <c r="J18" s="10">
        <v>8</v>
      </c>
      <c r="K18" s="10">
        <v>8</v>
      </c>
      <c r="L18" s="10">
        <f>(C18+E18+F18+G18)/4</f>
        <v>7.125</v>
      </c>
      <c r="M18" s="10">
        <f>(B18+H18)/2</f>
        <v>9</v>
      </c>
      <c r="N18" s="10">
        <f>(D18+I18+J18+K18)/4</f>
        <v>7.75</v>
      </c>
      <c r="O18" s="10">
        <f>(D18+G18)/2</f>
        <v>6.5</v>
      </c>
      <c r="P18" s="10">
        <f>ROUND((1/3)*(C18+D18+F18),1)</f>
        <v>7.3</v>
      </c>
      <c r="Q18" s="10">
        <f>ROUND((1/4)*(E18+H18+J18+K18),1)</f>
        <v>7.9</v>
      </c>
      <c r="R18" s="10">
        <f>S18-10*MIN(P18,Q18,B18)</f>
        <v>-0.70000000000000284</v>
      </c>
      <c r="S18" s="10">
        <f>ROUND(0.5*(10/3)*(L18+M18+N18)+(1-0.5)*10*MIN(L18,M18,N18,O18),1)</f>
        <v>72.3</v>
      </c>
      <c r="T18" s="10">
        <f>ROUND((10/3)*(L18+M18+N18) - 10*MIN(L18,M18,N18,O18),0)</f>
        <v>15</v>
      </c>
      <c r="U18" s="11">
        <v>10</v>
      </c>
      <c r="V18" s="10">
        <v>8</v>
      </c>
      <c r="W18" s="10">
        <v>7</v>
      </c>
      <c r="X18" s="10">
        <v>6</v>
      </c>
      <c r="Y18" s="10">
        <v>7</v>
      </c>
      <c r="Z18" s="10">
        <v>5</v>
      </c>
      <c r="AA18" s="10">
        <v>8</v>
      </c>
      <c r="AB18" s="10">
        <v>8</v>
      </c>
      <c r="AC18" s="10">
        <v>8</v>
      </c>
      <c r="AD18" s="10">
        <v>8</v>
      </c>
      <c r="AE18" s="10">
        <f>(V18+X18+Y18+Z18)/4</f>
        <v>6.5</v>
      </c>
      <c r="AF18" s="10">
        <f>(U18+AA18)/2</f>
        <v>9</v>
      </c>
      <c r="AG18" s="10">
        <f>(W18+AB18+AC18+AD18)/4</f>
        <v>7.75</v>
      </c>
      <c r="AH18" s="10">
        <f>(W18+Z18)/2</f>
        <v>6</v>
      </c>
      <c r="AI18" s="10">
        <f>ROUND((V18+W18+Y18)/3,1)</f>
        <v>7.3</v>
      </c>
      <c r="AJ18" s="10">
        <f>ROUND((X18+AA18+AC18+AD18)/4,1)</f>
        <v>7.5</v>
      </c>
      <c r="AK18" s="10">
        <f>AL18-10*MIN(AI18,AJ18,AF18)</f>
        <v>-4.2000000000000028</v>
      </c>
      <c r="AL18" s="10">
        <f>ROUND(0.5*(10/3)*(AE18+AF18+AG18)+(1-0.5)*10*MIN(AE18,AF18,AG18,AH18),1)</f>
        <v>68.8</v>
      </c>
      <c r="AM18" s="10">
        <f>ROUND((10/3)*(AE18+AF18+AG18)-10*MIN(AE18,AF18,AG18,AH18),0)</f>
        <v>18</v>
      </c>
      <c r="AN18" s="10" t="s">
        <v>174</v>
      </c>
      <c r="AO18" s="10">
        <f>(V18+X18+Y18+Z18+C18+E18+F18+G18)/8</f>
        <v>6.8125</v>
      </c>
      <c r="AP18" s="10">
        <f>(B18+H18+U18+AA18)/4</f>
        <v>9</v>
      </c>
      <c r="AQ18" s="10">
        <f>(W18+AB18+AC18+AD18+D18+I18+J18+K18)/8</f>
        <v>7.75</v>
      </c>
      <c r="AR18" s="10">
        <f>(D18+W18+G18+Z18)/4</f>
        <v>6.25</v>
      </c>
      <c r="AS18" s="10">
        <f>ROUND(0.5*(10/3)*(AO18+AP18+AQ18)+(1-0.5)*10*MIN(AO18,AP18,AQ18,AR18),1)</f>
        <v>70.5</v>
      </c>
      <c r="AT18" s="10">
        <f>ROUND((10/3)*(AO18+AP18+AQ18)-10*MIN(AO18,AP18,AQ18,AR18),0)</f>
        <v>16</v>
      </c>
      <c r="AU18" s="10">
        <v>80</v>
      </c>
      <c r="AV18" s="10">
        <v>6770</v>
      </c>
      <c r="AW18" s="10">
        <v>158</v>
      </c>
      <c r="AX18" s="10">
        <v>54</v>
      </c>
      <c r="AY18" s="17">
        <v>43981</v>
      </c>
      <c r="AZ18" s="10" t="s">
        <v>200</v>
      </c>
      <c r="BA18" s="10" t="s">
        <v>27</v>
      </c>
      <c r="BB18" s="17">
        <v>46121</v>
      </c>
      <c r="BC18" s="10">
        <f>BB18-AY18</f>
        <v>2140</v>
      </c>
      <c r="BD18" s="10">
        <f>ROUND(AV18/BC18,1)</f>
        <v>3.2</v>
      </c>
      <c r="BE18" s="10">
        <f>ROUND(100*AW18/AV18,1)</f>
        <v>2.2999999999999998</v>
      </c>
      <c r="BF18" s="10">
        <f>ROUND(100*AX18/AV18,1)</f>
        <v>0.8</v>
      </c>
      <c r="BG18" s="10">
        <f>LOOKUP(BC18,$A$47:$A$61,$B$47:$B$61)</f>
        <v>0.99</v>
      </c>
      <c r="BH18" s="10">
        <v>66</v>
      </c>
      <c r="BI18" s="10" t="s">
        <v>220</v>
      </c>
      <c r="BJ18" s="10">
        <f>BD18*BG18</f>
        <v>3.1680000000000001</v>
      </c>
      <c r="BK18" s="10" t="s">
        <v>134</v>
      </c>
      <c r="BL18" s="3" t="s">
        <v>294</v>
      </c>
      <c r="BM18" s="3" t="s">
        <v>295</v>
      </c>
      <c r="BN18" s="3" t="s">
        <v>313</v>
      </c>
      <c r="BO18" s="3" t="s">
        <v>314</v>
      </c>
      <c r="BP18" s="10" t="s">
        <v>225</v>
      </c>
      <c r="BQ18" s="3" t="s">
        <v>320</v>
      </c>
      <c r="BR18" s="4" t="s">
        <v>109</v>
      </c>
      <c r="BS18" s="19" t="s">
        <v>108</v>
      </c>
    </row>
    <row r="19" spans="1:71" ht="45.6" customHeight="1" x14ac:dyDescent="0.3">
      <c r="A19" s="4" t="s">
        <v>12</v>
      </c>
      <c r="B19" s="10">
        <v>10</v>
      </c>
      <c r="C19" s="10">
        <v>8</v>
      </c>
      <c r="D19" s="10">
        <v>8</v>
      </c>
      <c r="E19" s="10">
        <v>8</v>
      </c>
      <c r="F19" s="10">
        <v>7</v>
      </c>
      <c r="G19" s="10">
        <v>7</v>
      </c>
      <c r="H19" s="10">
        <v>5</v>
      </c>
      <c r="I19" s="10">
        <v>7</v>
      </c>
      <c r="J19" s="10">
        <v>6</v>
      </c>
      <c r="K19" s="10">
        <v>5</v>
      </c>
      <c r="L19" s="10">
        <f>(C19+E19+F19+G19)/4</f>
        <v>7.5</v>
      </c>
      <c r="M19" s="10">
        <f>(B19+H19)/2</f>
        <v>7.5</v>
      </c>
      <c r="N19" s="10">
        <f>(D19+I19+J19+K19)/4</f>
        <v>6.5</v>
      </c>
      <c r="O19" s="10">
        <f>(D19+G19)/2</f>
        <v>7.5</v>
      </c>
      <c r="P19" s="10">
        <f>ROUND((1/3)*(C19+D19+F19),1)</f>
        <v>7.7</v>
      </c>
      <c r="Q19" s="10">
        <f>ROUND((1/4)*(E19+H19+J19+K19),1)</f>
        <v>6</v>
      </c>
      <c r="R19" s="10">
        <f>S19-10*MIN(P19,Q19,B19)</f>
        <v>8.2999999999999972</v>
      </c>
      <c r="S19" s="10">
        <f>ROUND(0.5*(10/3)*(L19+M19+N19)+(1-0.5)*10*MIN(L19,M19,N19,O19),1)</f>
        <v>68.3</v>
      </c>
      <c r="T19" s="10">
        <f>ROUND((10/3)*(L19+M19+N19) - 10*MIN(L19,M19,N19,O19),0)</f>
        <v>7</v>
      </c>
      <c r="U19" s="11">
        <v>9</v>
      </c>
      <c r="V19" s="10">
        <v>8</v>
      </c>
      <c r="W19" s="10">
        <v>8</v>
      </c>
      <c r="X19" s="10">
        <v>7</v>
      </c>
      <c r="Y19" s="10">
        <v>7</v>
      </c>
      <c r="Z19" s="10">
        <v>8</v>
      </c>
      <c r="AA19" s="10">
        <v>5</v>
      </c>
      <c r="AB19" s="10">
        <v>7</v>
      </c>
      <c r="AC19" s="10">
        <v>7</v>
      </c>
      <c r="AD19" s="10">
        <v>5</v>
      </c>
      <c r="AE19" s="10">
        <f>(V19+X19+Y19+Z19)/4</f>
        <v>7.5</v>
      </c>
      <c r="AF19" s="10">
        <f>(U19+AA19)/2</f>
        <v>7</v>
      </c>
      <c r="AG19" s="10">
        <f>(W19+AB19+AC19+AD19)/4</f>
        <v>6.75</v>
      </c>
      <c r="AH19" s="10">
        <f>(W19+Z19)/2</f>
        <v>8</v>
      </c>
      <c r="AI19" s="10">
        <f>ROUND((V19+W19+Y19)/3,1)</f>
        <v>7.7</v>
      </c>
      <c r="AJ19" s="10">
        <f>ROUND((X19+AA19+AC19+AD19)/4,1)</f>
        <v>6</v>
      </c>
      <c r="AK19" s="10">
        <f>AL19-10*MIN(AI19,AJ19,AF19)</f>
        <v>9.2000000000000028</v>
      </c>
      <c r="AL19" s="10">
        <f>ROUND(0.5*(10/3)*(AE19+AF19+AG19)+(1-0.5)*10*MIN(AE19,AF19,AG19,AH19),1)</f>
        <v>69.2</v>
      </c>
      <c r="AM19" s="10">
        <f>ROUND((10/3)*(AE19+AF19+AG19)-10*MIN(AE19,AF19,AG19,AH19),0)</f>
        <v>3</v>
      </c>
      <c r="AN19" s="10" t="s">
        <v>174</v>
      </c>
      <c r="AO19" s="10">
        <f>(V19+X19+Y19+Z19+C19+E19+F19+G19)/8</f>
        <v>7.5</v>
      </c>
      <c r="AP19" s="10">
        <f>(B19+H19+U19+AA19)/4</f>
        <v>7.25</v>
      </c>
      <c r="AQ19" s="10">
        <f>(W19+AB19+AC19+AD19+D19+I19+J19+K19)/8</f>
        <v>6.625</v>
      </c>
      <c r="AR19" s="10">
        <f>(D19+W19+G19+Z19)/4</f>
        <v>7.75</v>
      </c>
      <c r="AS19" s="10">
        <f>ROUND(0.5*(10/3)*(AO19+AP19+AQ19)+(1-0.5)*10*MIN(AO19,AP19,AQ19,AR19),1)</f>
        <v>68.8</v>
      </c>
      <c r="AT19" s="10">
        <f>ROUND((10/3)*(AO19+AP19+AQ19)-10*MIN(AO19,AP19,AQ19,AR19),0)</f>
        <v>5</v>
      </c>
      <c r="AU19" s="10">
        <v>92</v>
      </c>
      <c r="AV19" s="10">
        <v>22121</v>
      </c>
      <c r="AW19" s="10">
        <v>497</v>
      </c>
      <c r="AX19" s="10">
        <v>43</v>
      </c>
      <c r="AY19" s="17">
        <v>42572</v>
      </c>
      <c r="AZ19" s="10" t="s">
        <v>198</v>
      </c>
      <c r="BA19" s="10" t="s">
        <v>26</v>
      </c>
      <c r="BB19" s="17">
        <v>46121</v>
      </c>
      <c r="BC19" s="10">
        <f>BB19-AY19</f>
        <v>3549</v>
      </c>
      <c r="BD19" s="10">
        <f>ROUND(AV19/BC19,1)</f>
        <v>6.2</v>
      </c>
      <c r="BE19" s="10">
        <f>ROUND(100*AW19/AV19,1)</f>
        <v>2.2000000000000002</v>
      </c>
      <c r="BF19" s="10">
        <f>ROUND(100*AX19/AV19,1)</f>
        <v>0.2</v>
      </c>
      <c r="BG19" s="10">
        <f>LOOKUP(BC19,$A$47:$A$61,$B$47:$B$61)</f>
        <v>1</v>
      </c>
      <c r="BH19" s="10">
        <v>67</v>
      </c>
      <c r="BI19" s="10" t="s">
        <v>220</v>
      </c>
      <c r="BJ19" s="10">
        <f>BD19*BG19</f>
        <v>6.2</v>
      </c>
      <c r="BK19" s="10" t="s">
        <v>134</v>
      </c>
      <c r="BL19" s="3" t="s">
        <v>290</v>
      </c>
      <c r="BM19" s="3" t="s">
        <v>291</v>
      </c>
      <c r="BN19" s="3" t="s">
        <v>310</v>
      </c>
      <c r="BO19" s="3" t="s">
        <v>311</v>
      </c>
      <c r="BP19" s="10" t="s">
        <v>233</v>
      </c>
      <c r="BQ19" s="3" t="s">
        <v>317</v>
      </c>
      <c r="BR19" s="4" t="s">
        <v>67</v>
      </c>
      <c r="BS19" s="19" t="s">
        <v>101</v>
      </c>
    </row>
    <row r="20" spans="1:71" ht="39" customHeight="1" x14ac:dyDescent="0.3">
      <c r="A20" s="4" t="s">
        <v>125</v>
      </c>
      <c r="B20" s="10">
        <v>10</v>
      </c>
      <c r="C20" s="10">
        <v>7</v>
      </c>
      <c r="D20" s="10">
        <v>8</v>
      </c>
      <c r="E20" s="10">
        <v>7.5</v>
      </c>
      <c r="F20" s="10">
        <v>8</v>
      </c>
      <c r="G20" s="10">
        <v>6</v>
      </c>
      <c r="H20" s="10">
        <v>5</v>
      </c>
      <c r="I20" s="10">
        <v>8</v>
      </c>
      <c r="J20" s="10">
        <v>5</v>
      </c>
      <c r="K20" s="10">
        <v>5</v>
      </c>
      <c r="L20" s="10">
        <f>(C20+E20+F20+G20)/4</f>
        <v>7.125</v>
      </c>
      <c r="M20" s="10">
        <f>(B20+H20)/2</f>
        <v>7.5</v>
      </c>
      <c r="N20" s="10">
        <f>(D20+I20+J20+K20)/4</f>
        <v>6.5</v>
      </c>
      <c r="O20" s="10">
        <f>(D20+G20)/2</f>
        <v>7</v>
      </c>
      <c r="P20" s="10">
        <f>ROUND((1/3)*(C20+D20+F20),1)</f>
        <v>7.7</v>
      </c>
      <c r="Q20" s="10">
        <f>ROUND((1/4)*(E20+H20+J20+K20),1)</f>
        <v>5.6</v>
      </c>
      <c r="R20" s="10">
        <f>S20-10*MIN(P20,Q20,B20)</f>
        <v>11.700000000000003</v>
      </c>
      <c r="S20" s="10">
        <f>ROUND(0.5*(10/3)*(L20+M20+N20)+(1-0.5)*10*MIN(L20,M20,N20,O20),1)</f>
        <v>67.7</v>
      </c>
      <c r="T20" s="10">
        <f>ROUND((10/3)*(L20+M20+N20) - 10*MIN(L20,M20,N20,O20),0)</f>
        <v>5</v>
      </c>
      <c r="U20" s="11">
        <v>9</v>
      </c>
      <c r="V20" s="10">
        <v>7</v>
      </c>
      <c r="W20" s="10">
        <v>9</v>
      </c>
      <c r="X20" s="10">
        <v>7</v>
      </c>
      <c r="Y20" s="10">
        <v>8</v>
      </c>
      <c r="Z20" s="10">
        <v>5</v>
      </c>
      <c r="AA20" s="10">
        <v>5</v>
      </c>
      <c r="AB20" s="10">
        <v>8</v>
      </c>
      <c r="AC20" s="10">
        <v>5</v>
      </c>
      <c r="AD20" s="10">
        <v>5</v>
      </c>
      <c r="AE20" s="10">
        <f>(V20+X20+Y20+Z20)/4</f>
        <v>6.75</v>
      </c>
      <c r="AF20" s="10">
        <f>(U20+AA20)/2</f>
        <v>7</v>
      </c>
      <c r="AG20" s="10">
        <f>(W20+AB20+AC20+AD20)/4</f>
        <v>6.75</v>
      </c>
      <c r="AH20" s="10">
        <f>(W20+Z20)/2</f>
        <v>7</v>
      </c>
      <c r="AI20" s="10">
        <f>ROUND((V20+W20+Y20)/3,1)</f>
        <v>8</v>
      </c>
      <c r="AJ20" s="10">
        <f>ROUND((X20+AA20+AC20+AD20)/4,1)</f>
        <v>5.5</v>
      </c>
      <c r="AK20" s="10">
        <f>AL20-10*MIN(AI20,AJ20,AF20)</f>
        <v>12.900000000000006</v>
      </c>
      <c r="AL20" s="10">
        <f>ROUND(0.5*(10/3)*(AE20+AF20+AG20)+(1-0.5)*10*MIN(AE20,AF20,AG20,AH20),1)</f>
        <v>67.900000000000006</v>
      </c>
      <c r="AM20" s="10">
        <f>ROUND((10/3)*(AE20+AF20+AG20)-10*MIN(AE20,AF20,AG20,AH20),0)</f>
        <v>1</v>
      </c>
      <c r="AN20" s="10" t="s">
        <v>174</v>
      </c>
      <c r="AO20" s="10">
        <f>(V20+X20+Y20+Z20+C20+E20+F20+G20)/8</f>
        <v>6.9375</v>
      </c>
      <c r="AP20" s="10">
        <f>(B20+H20+U20+AA20)/4</f>
        <v>7.25</v>
      </c>
      <c r="AQ20" s="10">
        <f>(W20+AB20+AC20+AD20+D20+I20+J20+K20)/8</f>
        <v>6.625</v>
      </c>
      <c r="AR20" s="10">
        <f>(D20+W20+G20+Z20)/4</f>
        <v>7</v>
      </c>
      <c r="AS20" s="10">
        <f>ROUND(0.5*(10/3)*(AO20+AP20+AQ20)+(1-0.5)*10*MIN(AO20,AP20,AQ20,AR20),1)</f>
        <v>67.8</v>
      </c>
      <c r="AT20" s="10">
        <f>ROUND((10/3)*(AO20+AP20+AQ20)-10*MIN(AO20,AP20,AQ20,AR20),0)</f>
        <v>3</v>
      </c>
      <c r="AU20" s="10">
        <v>163</v>
      </c>
      <c r="AV20" s="10">
        <v>30738</v>
      </c>
      <c r="AW20" s="10">
        <v>745</v>
      </c>
      <c r="AX20" s="10">
        <v>793</v>
      </c>
      <c r="AY20" s="17">
        <v>45622</v>
      </c>
      <c r="AZ20" s="10" t="s">
        <v>200</v>
      </c>
      <c r="BA20" s="10" t="s">
        <v>25</v>
      </c>
      <c r="BB20" s="17">
        <v>46121</v>
      </c>
      <c r="BC20" s="10">
        <f>BB20-AY20</f>
        <v>499</v>
      </c>
      <c r="BD20" s="10">
        <f>ROUND(AV20/BC20,1)</f>
        <v>61.6</v>
      </c>
      <c r="BE20" s="10">
        <f>ROUND(100*AW20/AV20,1)</f>
        <v>2.4</v>
      </c>
      <c r="BF20" s="10">
        <f>ROUND(100*AX20/AV20,1)</f>
        <v>2.6</v>
      </c>
      <c r="BG20" s="10">
        <f>LOOKUP(BC20,$A$47:$A$61,$B$47:$B$61)</f>
        <v>0.88</v>
      </c>
      <c r="BH20" s="10">
        <v>74</v>
      </c>
      <c r="BI20" s="10" t="s">
        <v>220</v>
      </c>
      <c r="BJ20" s="10">
        <f>BD20*BG20</f>
        <v>54.207999999999998</v>
      </c>
      <c r="BK20" s="10" t="s">
        <v>134</v>
      </c>
      <c r="BL20" s="3" t="s">
        <v>325</v>
      </c>
      <c r="BM20" s="3" t="s">
        <v>333</v>
      </c>
      <c r="BN20" s="3" t="s">
        <v>341</v>
      </c>
      <c r="BO20" s="3" t="s">
        <v>346</v>
      </c>
      <c r="BP20" s="10" t="s">
        <v>222</v>
      </c>
      <c r="BQ20" s="3" t="s">
        <v>319</v>
      </c>
      <c r="BR20" s="4" t="s">
        <v>63</v>
      </c>
      <c r="BS20" s="19" t="s">
        <v>104</v>
      </c>
    </row>
    <row r="21" spans="1:71" ht="42" customHeight="1" x14ac:dyDescent="0.3">
      <c r="A21" s="4" t="s">
        <v>20</v>
      </c>
      <c r="B21" s="10">
        <v>9</v>
      </c>
      <c r="C21" s="10">
        <v>7</v>
      </c>
      <c r="D21" s="10">
        <v>7</v>
      </c>
      <c r="E21" s="10">
        <v>7</v>
      </c>
      <c r="F21" s="10">
        <v>6</v>
      </c>
      <c r="G21" s="10">
        <v>8</v>
      </c>
      <c r="H21" s="10">
        <v>5</v>
      </c>
      <c r="I21" s="10">
        <v>7</v>
      </c>
      <c r="J21" s="10">
        <v>6</v>
      </c>
      <c r="K21" s="10">
        <v>5</v>
      </c>
      <c r="L21" s="10">
        <f>(C21+E21+F21+G21)/4</f>
        <v>7</v>
      </c>
      <c r="M21" s="10">
        <f>(B21+H21)/2</f>
        <v>7</v>
      </c>
      <c r="N21" s="10">
        <f>(D21+I21+J21+K21)/4</f>
        <v>6.25</v>
      </c>
      <c r="O21" s="10">
        <f>(D21+G21)/2</f>
        <v>7.5</v>
      </c>
      <c r="P21" s="10">
        <f>ROUND((1/3)*(C21+D21+F21),1)</f>
        <v>6.7</v>
      </c>
      <c r="Q21" s="10">
        <f>ROUND((1/4)*(E21+H21+J21+K21),1)</f>
        <v>5.8</v>
      </c>
      <c r="R21" s="10">
        <f>S21-10*MIN(P21,Q21,B21)</f>
        <v>7</v>
      </c>
      <c r="S21" s="10">
        <f>ROUND(0.5*(10/3)*(L21+M21+N21)+(1-0.5)*10*MIN(L21,M21,N21,O21),1)</f>
        <v>65</v>
      </c>
      <c r="T21" s="10">
        <f>ROUND((10/3)*(L21+M21+N21) - 10*MIN(L21,M21,N21,O21),0)</f>
        <v>5</v>
      </c>
      <c r="U21" s="11">
        <v>8</v>
      </c>
      <c r="V21" s="10">
        <v>8</v>
      </c>
      <c r="W21" s="10">
        <v>7</v>
      </c>
      <c r="X21" s="10">
        <v>8</v>
      </c>
      <c r="Y21" s="10">
        <v>7</v>
      </c>
      <c r="Z21" s="10">
        <v>8</v>
      </c>
      <c r="AA21" s="10">
        <v>6</v>
      </c>
      <c r="AB21" s="10">
        <v>7</v>
      </c>
      <c r="AC21" s="10">
        <v>6</v>
      </c>
      <c r="AD21" s="10">
        <v>5</v>
      </c>
      <c r="AE21" s="10">
        <f>(V21+X21+Y21+Z21)/4</f>
        <v>7.75</v>
      </c>
      <c r="AF21" s="10">
        <f>(U21+AA21)/2</f>
        <v>7</v>
      </c>
      <c r="AG21" s="10">
        <f>(W21+AB21+AC21+AD21)/4</f>
        <v>6.25</v>
      </c>
      <c r="AH21" s="10">
        <f>(W21+Z21)/2</f>
        <v>7.5</v>
      </c>
      <c r="AI21" s="10">
        <f>ROUND((V21+W21+Y21)/3,1)</f>
        <v>7.3</v>
      </c>
      <c r="AJ21" s="10">
        <f>ROUND((X21+AA21+AC21+AD21)/4,1)</f>
        <v>6.3</v>
      </c>
      <c r="AK21" s="10">
        <f>AL21-10*MIN(AI21,AJ21,AF21)</f>
        <v>3.2999999999999972</v>
      </c>
      <c r="AL21" s="10">
        <f>ROUND(0.5*(10/3)*(AE21+AF21+AG21)+(1-0.5)*10*MIN(AE21,AF21,AG21,AH21),1)</f>
        <v>66.3</v>
      </c>
      <c r="AM21" s="10">
        <f>ROUND((10/3)*(AE21+AF21+AG21)-10*MIN(AE21,AF21,AG21,AH21),0)</f>
        <v>8</v>
      </c>
      <c r="AN21" s="10" t="s">
        <v>174</v>
      </c>
      <c r="AO21" s="10">
        <f>(V21+X21+Y21+Z21+C21+E21+F21+G21)/8</f>
        <v>7.375</v>
      </c>
      <c r="AP21" s="10">
        <f>(B21+H21+U21+AA21)/4</f>
        <v>7</v>
      </c>
      <c r="AQ21" s="10">
        <f>(W21+AB21+AC21+AD21+D21+I21+J21+K21)/8</f>
        <v>6.25</v>
      </c>
      <c r="AR21" s="10">
        <f>(D21+W21+G21+Z21)/4</f>
        <v>7.5</v>
      </c>
      <c r="AS21" s="10">
        <f>ROUND(0.5*(10/3)*(AO21+AP21+AQ21)+(1-0.5)*10*MIN(AO21,AP21,AQ21,AR21),1)</f>
        <v>65.599999999999994</v>
      </c>
      <c r="AT21" s="10">
        <f>ROUND((10/3)*(AO21+AP21+AQ21)-10*MIN(AO21,AP21,AQ21,AR21),0)</f>
        <v>6</v>
      </c>
      <c r="AU21" s="10">
        <v>152</v>
      </c>
      <c r="AV21" s="10">
        <v>37839</v>
      </c>
      <c r="AW21" s="10">
        <v>751</v>
      </c>
      <c r="AX21" s="10">
        <v>1630</v>
      </c>
      <c r="AY21" s="17">
        <v>45471</v>
      </c>
      <c r="AZ21" s="10" t="s">
        <v>198</v>
      </c>
      <c r="BA21" s="10" t="s">
        <v>26</v>
      </c>
      <c r="BB21" s="17">
        <v>46121</v>
      </c>
      <c r="BC21" s="10">
        <f>BB21-AY21</f>
        <v>650</v>
      </c>
      <c r="BD21" s="10">
        <f>ROUND(AV21/BC21,1)</f>
        <v>58.2</v>
      </c>
      <c r="BE21" s="10">
        <f>ROUND(100*AW21/AV21,1)</f>
        <v>2</v>
      </c>
      <c r="BF21" s="10">
        <f>ROUND(100*AX21/AV21,1)</f>
        <v>4.3</v>
      </c>
      <c r="BG21" s="10">
        <f>LOOKUP(BC21,$A$47:$A$61,$B$47:$B$61)</f>
        <v>0.88</v>
      </c>
      <c r="BH21" s="10">
        <v>55</v>
      </c>
      <c r="BI21" s="10" t="s">
        <v>220</v>
      </c>
      <c r="BJ21" s="10">
        <f>BD21*BG21</f>
        <v>51.216000000000001</v>
      </c>
      <c r="BK21" s="10" t="s">
        <v>134</v>
      </c>
      <c r="BL21" s="3" t="s">
        <v>253</v>
      </c>
      <c r="BM21" s="3" t="s">
        <v>254</v>
      </c>
      <c r="BN21" s="3" t="s">
        <v>255</v>
      </c>
      <c r="BO21" s="3" t="s">
        <v>256</v>
      </c>
      <c r="BP21" s="10" t="s">
        <v>233</v>
      </c>
      <c r="BQ21" s="3" t="s">
        <v>280</v>
      </c>
      <c r="BR21" s="4" t="s">
        <v>82</v>
      </c>
      <c r="BS21" s="19" t="s">
        <v>89</v>
      </c>
    </row>
    <row r="22" spans="1:71" ht="40.200000000000003" customHeight="1" x14ac:dyDescent="0.3">
      <c r="A22" s="4" t="s">
        <v>13</v>
      </c>
      <c r="B22" s="10">
        <v>5</v>
      </c>
      <c r="C22" s="10">
        <v>5</v>
      </c>
      <c r="D22" s="10">
        <v>6</v>
      </c>
      <c r="E22" s="10">
        <v>7</v>
      </c>
      <c r="F22" s="10">
        <v>7</v>
      </c>
      <c r="G22" s="10">
        <v>7</v>
      </c>
      <c r="H22" s="10">
        <v>8</v>
      </c>
      <c r="I22" s="10">
        <v>9</v>
      </c>
      <c r="J22" s="10">
        <v>7</v>
      </c>
      <c r="K22" s="10">
        <v>8</v>
      </c>
      <c r="L22" s="10">
        <f>(C22+E22+F22+G22)/4</f>
        <v>6.5</v>
      </c>
      <c r="M22" s="10">
        <f>(B22+H22)/2</f>
        <v>6.5</v>
      </c>
      <c r="N22" s="10">
        <f>(D22+I22+J22+K22)/4</f>
        <v>7.5</v>
      </c>
      <c r="O22" s="10">
        <f>(D22+G22)/2</f>
        <v>6.5</v>
      </c>
      <c r="P22" s="10">
        <f>ROUND((1/3)*(C22+D22+F22),1)</f>
        <v>6</v>
      </c>
      <c r="Q22" s="10">
        <f>ROUND((1/4)*(E22+H22+J22+K22),1)</f>
        <v>7.5</v>
      </c>
      <c r="R22" s="10">
        <f>S22-10*MIN(P22,Q22,B22)</f>
        <v>16.700000000000003</v>
      </c>
      <c r="S22" s="10">
        <f>ROUND(0.5*(10/3)*(L22+M22+N22)+(1-0.5)*10*MIN(L22,M22,N22,O22),1)</f>
        <v>66.7</v>
      </c>
      <c r="T22" s="10">
        <f>ROUND((10/3)*(L22+M22+N22) - 10*MIN(L22,M22,N22,O22),0)</f>
        <v>3</v>
      </c>
      <c r="U22" s="11">
        <v>8</v>
      </c>
      <c r="V22" s="10">
        <v>5</v>
      </c>
      <c r="W22" s="10">
        <v>6</v>
      </c>
      <c r="X22" s="10">
        <v>7</v>
      </c>
      <c r="Y22" s="10">
        <v>7</v>
      </c>
      <c r="Z22" s="10">
        <v>5</v>
      </c>
      <c r="AA22" s="10">
        <v>8</v>
      </c>
      <c r="AB22" s="10">
        <v>9</v>
      </c>
      <c r="AC22" s="10">
        <v>7</v>
      </c>
      <c r="AD22" s="10">
        <v>10</v>
      </c>
      <c r="AE22" s="10">
        <f>(V22+X22+Y22+Z22)/4</f>
        <v>6</v>
      </c>
      <c r="AF22" s="10">
        <f>(U22+AA22)/2</f>
        <v>8</v>
      </c>
      <c r="AG22" s="10">
        <f>(W22+AB22+AC22+AD22)/4</f>
        <v>8</v>
      </c>
      <c r="AH22" s="10">
        <f>(W22+Z22)/2</f>
        <v>5.5</v>
      </c>
      <c r="AI22" s="10">
        <f>ROUND((V22+W22+Y22)/3,1)</f>
        <v>6</v>
      </c>
      <c r="AJ22" s="10">
        <f>ROUND((X22+AA22+AC22+AD22)/4,1)</f>
        <v>8</v>
      </c>
      <c r="AK22" s="10">
        <f>AL22-10*MIN(AI22,AJ22,AF22)</f>
        <v>4.2000000000000028</v>
      </c>
      <c r="AL22" s="10">
        <f>ROUND(0.5*(10/3)*(AE22+AF22+AG22)+(1-0.5)*10*MIN(AE22,AF22,AG22,AH22),1)</f>
        <v>64.2</v>
      </c>
      <c r="AM22" s="10">
        <f>ROUND((10/3)*(AE22+AF22+AG22)-10*MIN(AE22,AF22,AG22,AH22),0)</f>
        <v>18</v>
      </c>
      <c r="AN22" s="10" t="s">
        <v>174</v>
      </c>
      <c r="AO22" s="10">
        <f>(V22+X22+Y22+Z22+C22+E22+F22+G22)/8</f>
        <v>6.25</v>
      </c>
      <c r="AP22" s="10">
        <f>(B22+H22+U22+AA22)/4</f>
        <v>7.25</v>
      </c>
      <c r="AQ22" s="10">
        <f>(W22+AB22+AC22+AD22+D22+I22+J22+K22)/8</f>
        <v>7.75</v>
      </c>
      <c r="AR22" s="10">
        <f>(D22+W22+G22+Z22)/4</f>
        <v>6</v>
      </c>
      <c r="AS22" s="10">
        <f>ROUND(0.5*(10/3)*(AO22+AP22+AQ22)+(1-0.5)*10*MIN(AO22,AP22,AQ22,AR22),1)</f>
        <v>65.400000000000006</v>
      </c>
      <c r="AT22" s="10">
        <f>ROUND((10/3)*(AO22+AP22+AQ22)-10*MIN(AO22,AP22,AQ22,AR22),0)</f>
        <v>11</v>
      </c>
      <c r="AU22" s="10">
        <v>137</v>
      </c>
      <c r="AV22" s="10">
        <v>19992</v>
      </c>
      <c r="AW22" s="10">
        <v>437</v>
      </c>
      <c r="AX22" s="10">
        <v>374</v>
      </c>
      <c r="AY22" s="17">
        <v>45260</v>
      </c>
      <c r="AZ22" s="10" t="s">
        <v>200</v>
      </c>
      <c r="BA22" s="10" t="s">
        <v>25</v>
      </c>
      <c r="BB22" s="17">
        <v>46121</v>
      </c>
      <c r="BC22" s="10">
        <f>BB22-AY22</f>
        <v>861</v>
      </c>
      <c r="BD22" s="10">
        <f>ROUND(AV22/BC22,1)</f>
        <v>23.2</v>
      </c>
      <c r="BE22" s="10">
        <f>ROUND(100*AW22/AV22,1)</f>
        <v>2.2000000000000002</v>
      </c>
      <c r="BF22" s="10">
        <f>ROUND(100*AX22/AV22,1)</f>
        <v>1.9</v>
      </c>
      <c r="BG22" s="10">
        <f>LOOKUP(BC22,$A$47:$A$61,$B$47:$B$61)</f>
        <v>0.94</v>
      </c>
      <c r="BH22" s="10">
        <v>71</v>
      </c>
      <c r="BI22" s="10" t="s">
        <v>220</v>
      </c>
      <c r="BJ22" s="10">
        <f>BD22*BG22</f>
        <v>21.808</v>
      </c>
      <c r="BK22" s="10" t="s">
        <v>134</v>
      </c>
      <c r="BL22" s="3" t="s">
        <v>326</v>
      </c>
      <c r="BM22" s="3" t="s">
        <v>332</v>
      </c>
      <c r="BN22" s="3" t="s">
        <v>342</v>
      </c>
      <c r="BO22" s="3" t="s">
        <v>345</v>
      </c>
      <c r="BP22" s="10" t="s">
        <v>222</v>
      </c>
      <c r="BQ22" s="3" t="s">
        <v>321</v>
      </c>
      <c r="BR22" s="4" t="s">
        <v>111</v>
      </c>
      <c r="BS22" s="19" t="s">
        <v>110</v>
      </c>
    </row>
    <row r="23" spans="1:71" ht="43.8" customHeight="1" x14ac:dyDescent="0.3">
      <c r="A23" s="4" t="s">
        <v>5</v>
      </c>
      <c r="B23" s="10">
        <v>9</v>
      </c>
      <c r="C23" s="10">
        <v>6</v>
      </c>
      <c r="D23" s="10">
        <v>7</v>
      </c>
      <c r="E23" s="10">
        <v>7</v>
      </c>
      <c r="F23" s="10">
        <v>7</v>
      </c>
      <c r="G23" s="10">
        <v>6</v>
      </c>
      <c r="H23" s="10">
        <v>8</v>
      </c>
      <c r="I23" s="10">
        <v>6</v>
      </c>
      <c r="J23" s="10">
        <v>6</v>
      </c>
      <c r="K23" s="10">
        <v>8</v>
      </c>
      <c r="L23" s="10">
        <f>(C23+E23+F23+G23)/4</f>
        <v>6.5</v>
      </c>
      <c r="M23" s="10">
        <f>(B23+H23)/2</f>
        <v>8.5</v>
      </c>
      <c r="N23" s="10">
        <f>(D23+I23+J23+K23)/4</f>
        <v>6.75</v>
      </c>
      <c r="O23" s="10">
        <f>(D23+G23)/2</f>
        <v>6.5</v>
      </c>
      <c r="P23" s="10">
        <f>ROUND((1/3)*(C23+D23+F23),1)</f>
        <v>6.7</v>
      </c>
      <c r="Q23" s="10">
        <f>ROUND((1/4)*(E23+H23+J23+K23),1)</f>
        <v>7.3</v>
      </c>
      <c r="R23" s="10">
        <f>S23-10*MIN(P23,Q23,B23)</f>
        <v>1.7999999999999972</v>
      </c>
      <c r="S23" s="10">
        <f>ROUND(0.5*(10/3)*(L23+M23+N23)+(1-0.5)*10*MIN(L23,M23,N23,O23),1)</f>
        <v>68.8</v>
      </c>
      <c r="T23" s="10">
        <f>ROUND((10/3)*(L23+M23+N23) - 10*MIN(L23,M23,N23,O23),0)</f>
        <v>8</v>
      </c>
      <c r="U23" s="11">
        <v>8</v>
      </c>
      <c r="V23" s="10">
        <v>5</v>
      </c>
      <c r="W23" s="10">
        <v>5</v>
      </c>
      <c r="X23" s="10">
        <v>6</v>
      </c>
      <c r="Y23" s="10">
        <v>7</v>
      </c>
      <c r="Z23" s="10">
        <v>5</v>
      </c>
      <c r="AA23" s="10">
        <v>10</v>
      </c>
      <c r="AB23" s="10">
        <v>6</v>
      </c>
      <c r="AC23" s="10">
        <v>6</v>
      </c>
      <c r="AD23" s="10">
        <v>8</v>
      </c>
      <c r="AE23" s="10">
        <f>(V23+X23+Y23+Z23)/4</f>
        <v>5.75</v>
      </c>
      <c r="AF23" s="10">
        <f>(U23+AA23)/2</f>
        <v>9</v>
      </c>
      <c r="AG23" s="10">
        <f>(W23+AB23+AC23+AD23)/4</f>
        <v>6.25</v>
      </c>
      <c r="AH23" s="10">
        <f>(W23+Z23)/2</f>
        <v>5</v>
      </c>
      <c r="AI23" s="10">
        <f>ROUND((V23+W23+Y23)/3,1)</f>
        <v>5.7</v>
      </c>
      <c r="AJ23" s="10">
        <f>ROUND((X23+AA23+AC23+AD23)/4,1)</f>
        <v>7.5</v>
      </c>
      <c r="AK23" s="10">
        <f>AL23-10*MIN(AI23,AJ23,AF23)</f>
        <v>3</v>
      </c>
      <c r="AL23" s="10">
        <f>ROUND(0.5*(10/3)*(AE23+AF23+AG23)+(1-0.5)*10*MIN(AE23,AF23,AG23,AH23),1)</f>
        <v>60</v>
      </c>
      <c r="AM23" s="10">
        <f>ROUND((10/3)*(AE23+AF23+AG23)-10*MIN(AE23,AF23,AG23,AH23),0)</f>
        <v>20</v>
      </c>
      <c r="AN23" s="10" t="s">
        <v>174</v>
      </c>
      <c r="AO23" s="10">
        <f>(V23+X23+Y23+Z23+C23+E23+F23+G23)/8</f>
        <v>6.125</v>
      </c>
      <c r="AP23" s="10">
        <f>(B23+H23+U23+AA23)/4</f>
        <v>8.75</v>
      </c>
      <c r="AQ23" s="10">
        <f>(W23+AB23+AC23+AD23+D23+I23+J23+K23)/8</f>
        <v>6.5</v>
      </c>
      <c r="AR23" s="10">
        <f>(D23+W23+G23+Z23)/4</f>
        <v>5.75</v>
      </c>
      <c r="AS23" s="10">
        <f>ROUND(0.5*(10/3)*(AO23+AP23+AQ23)+(1-0.5)*10*MIN(AO23,AP23,AQ23,AR23),1)</f>
        <v>64.400000000000006</v>
      </c>
      <c r="AT23" s="10">
        <f>ROUND((10/3)*(AO23+AP23+AQ23)-10*MIN(AO23,AP23,AQ23,AR23),0)</f>
        <v>14</v>
      </c>
      <c r="AU23" s="10">
        <v>83</v>
      </c>
      <c r="AV23" s="10">
        <v>59888</v>
      </c>
      <c r="AW23" s="10">
        <v>1473</v>
      </c>
      <c r="AX23" s="10">
        <v>392</v>
      </c>
      <c r="AY23" s="17">
        <v>43721</v>
      </c>
      <c r="AZ23" s="10" t="s">
        <v>198</v>
      </c>
      <c r="BA23" s="10" t="s">
        <v>26</v>
      </c>
      <c r="BB23" s="17">
        <v>46121</v>
      </c>
      <c r="BC23" s="10">
        <f>BB23-AY23</f>
        <v>2400</v>
      </c>
      <c r="BD23" s="10">
        <f>ROUND(AV23/BC23,1)</f>
        <v>25</v>
      </c>
      <c r="BE23" s="10">
        <f>ROUND(100*AW23/AV23,1)</f>
        <v>2.5</v>
      </c>
      <c r="BF23" s="10">
        <f>ROUND(100*AX23/AV23,1)</f>
        <v>0.7</v>
      </c>
      <c r="BG23" s="10">
        <f>LOOKUP(BC23,$A$47:$A$61,$B$47:$B$61)</f>
        <v>1</v>
      </c>
      <c r="BH23" s="10">
        <v>78</v>
      </c>
      <c r="BI23" s="10" t="s">
        <v>220</v>
      </c>
      <c r="BJ23" s="10">
        <f>BD23*BG23</f>
        <v>25</v>
      </c>
      <c r="BK23" s="10" t="s">
        <v>134</v>
      </c>
      <c r="BL23" s="3" t="s">
        <v>287</v>
      </c>
      <c r="BM23" s="3" t="s">
        <v>288</v>
      </c>
      <c r="BN23" s="3" t="s">
        <v>377</v>
      </c>
      <c r="BO23" s="3" t="s">
        <v>309</v>
      </c>
      <c r="BP23" s="10" t="s">
        <v>233</v>
      </c>
      <c r="BQ23" s="3" t="s">
        <v>316</v>
      </c>
      <c r="BR23" s="4" t="s">
        <v>98</v>
      </c>
      <c r="BS23" s="19" t="s">
        <v>97</v>
      </c>
    </row>
    <row r="24" spans="1:71" ht="33.6" customHeight="1" x14ac:dyDescent="0.3">
      <c r="A24" s="4" t="s">
        <v>23</v>
      </c>
      <c r="B24" s="10">
        <v>8</v>
      </c>
      <c r="C24" s="10">
        <v>9</v>
      </c>
      <c r="D24" s="10">
        <v>6</v>
      </c>
      <c r="E24" s="10">
        <v>6.5</v>
      </c>
      <c r="F24" s="10">
        <v>9</v>
      </c>
      <c r="G24" s="10">
        <v>7</v>
      </c>
      <c r="H24" s="10">
        <v>8</v>
      </c>
      <c r="I24" s="10">
        <v>6</v>
      </c>
      <c r="J24" s="10">
        <v>6</v>
      </c>
      <c r="K24" s="10">
        <v>8</v>
      </c>
      <c r="L24" s="10">
        <f>(C24+E24+F24+G24)/4</f>
        <v>7.875</v>
      </c>
      <c r="M24" s="10">
        <f>(B24+H24)/2</f>
        <v>8</v>
      </c>
      <c r="N24" s="10">
        <f>(D24+I24+J24+K24)/4</f>
        <v>6.5</v>
      </c>
      <c r="O24" s="10">
        <f>(D24+G24)/2</f>
        <v>6.5</v>
      </c>
      <c r="P24" s="10">
        <f>ROUND((1/3)*(C24+D24+F24),1)</f>
        <v>8</v>
      </c>
      <c r="Q24" s="10">
        <f>ROUND((1/4)*(E24+H24+J24+K24),1)</f>
        <v>7.1</v>
      </c>
      <c r="R24" s="10">
        <f>S24-10*MIN(P24,Q24,B24)</f>
        <v>-1.2000000000000028</v>
      </c>
      <c r="S24" s="10">
        <f>ROUND(0.5*(10/3)*(L24+M24+N24)+(1-0.5)*10*MIN(L24,M24,N24,O24),1)</f>
        <v>69.8</v>
      </c>
      <c r="T24" s="10">
        <f>ROUND((10/3)*(L24+M24+N24) - 10*MIN(L24,M24,N24,O24),0)</f>
        <v>10</v>
      </c>
      <c r="U24" s="11">
        <v>9</v>
      </c>
      <c r="V24" s="10">
        <v>9</v>
      </c>
      <c r="W24" s="10">
        <v>6</v>
      </c>
      <c r="X24" s="10">
        <v>7</v>
      </c>
      <c r="Y24" s="10">
        <v>8</v>
      </c>
      <c r="Z24" s="10">
        <v>3</v>
      </c>
      <c r="AA24" s="10">
        <v>8</v>
      </c>
      <c r="AB24" s="10">
        <v>6</v>
      </c>
      <c r="AC24" s="10">
        <v>3</v>
      </c>
      <c r="AD24" s="10">
        <v>10</v>
      </c>
      <c r="AE24" s="10">
        <f>(V24+X24+Y24+Z24)/4</f>
        <v>6.75</v>
      </c>
      <c r="AF24" s="10">
        <f>(U24+AA24)/2</f>
        <v>8.5</v>
      </c>
      <c r="AG24" s="10">
        <f>(W24+AB24+AC24+AD24)/4</f>
        <v>6.25</v>
      </c>
      <c r="AH24" s="10">
        <f>(W24+Z24)/2</f>
        <v>4.5</v>
      </c>
      <c r="AI24" s="10">
        <f>ROUND((V24+W24+Y24)/3,1)</f>
        <v>7.7</v>
      </c>
      <c r="AJ24" s="10">
        <f>ROUND((X24+AA24+AC24+AD24)/4,1)</f>
        <v>7</v>
      </c>
      <c r="AK24" s="10">
        <f>AL24-10*MIN(AI24,AJ24,AF24)</f>
        <v>-11.700000000000003</v>
      </c>
      <c r="AL24" s="10">
        <f>ROUND(0.5*(10/3)*(AE24+AF24+AG24)+(1-0.5)*10*MIN(AE24,AF24,AG24,AH24),1)</f>
        <v>58.3</v>
      </c>
      <c r="AM24" s="10">
        <f>ROUND((10/3)*(AE24+AF24+AG24)-10*MIN(AE24,AF24,AG24,AH24),0)</f>
        <v>27</v>
      </c>
      <c r="AN24" s="10" t="s">
        <v>174</v>
      </c>
      <c r="AO24" s="10">
        <f>(V24+X24+Y24+Z24+C24+E24+F24+G24)/8</f>
        <v>7.3125</v>
      </c>
      <c r="AP24" s="10">
        <f>(B24+H24+U24+AA24)/4</f>
        <v>8.25</v>
      </c>
      <c r="AQ24" s="10">
        <f>(W24+AB24+AC24+AD24+D24+I24+J24+K24)/8</f>
        <v>6.375</v>
      </c>
      <c r="AR24" s="10">
        <f>(D24+W24+G24+Z24)/4</f>
        <v>5.5</v>
      </c>
      <c r="AS24" s="10">
        <f>ROUND(0.5*(10/3)*(AO24+AP24+AQ24)+(1-0.5)*10*MIN(AO24,AP24,AQ24,AR24),1)</f>
        <v>64.099999999999994</v>
      </c>
      <c r="AT24" s="10">
        <f>ROUND((10/3)*(AO24+AP24+AQ24)-10*MIN(AO24,AP24,AQ24,AR24),0)</f>
        <v>18</v>
      </c>
      <c r="AU24" s="10">
        <v>29</v>
      </c>
      <c r="AV24" s="10">
        <v>755</v>
      </c>
      <c r="AW24" s="10">
        <v>13</v>
      </c>
      <c r="AX24" s="10">
        <v>11</v>
      </c>
      <c r="AY24" s="17">
        <v>46042</v>
      </c>
      <c r="AZ24" s="10" t="s">
        <v>198</v>
      </c>
      <c r="BA24" s="10" t="s">
        <v>27</v>
      </c>
      <c r="BB24" s="17">
        <v>46121</v>
      </c>
      <c r="BC24" s="10">
        <f>BB24-AY24</f>
        <v>79</v>
      </c>
      <c r="BD24" s="10">
        <f>ROUND(AV24/BC24,1)</f>
        <v>9.6</v>
      </c>
      <c r="BE24" s="10">
        <f>ROUND(100*AW24/AV24,1)</f>
        <v>1.7</v>
      </c>
      <c r="BF24" s="10">
        <f>ROUND(100*AX24/AV24,1)</f>
        <v>1.5</v>
      </c>
      <c r="BG24" s="10">
        <f>LOOKUP(BC24,$A$47:$A$61,$B$47:$B$61)</f>
        <v>0.55000000000000004</v>
      </c>
      <c r="BH24" s="10">
        <v>61</v>
      </c>
      <c r="BI24" s="10" t="s">
        <v>220</v>
      </c>
      <c r="BJ24" s="10">
        <f>BD24*BG24</f>
        <v>5.28</v>
      </c>
      <c r="BK24" s="10" t="s">
        <v>231</v>
      </c>
      <c r="BL24" s="3" t="s">
        <v>368</v>
      </c>
      <c r="BM24" s="3" t="s">
        <v>369</v>
      </c>
      <c r="BN24" s="3" t="s">
        <v>308</v>
      </c>
      <c r="BO24" s="3" t="s">
        <v>370</v>
      </c>
      <c r="BP24" s="10" t="s">
        <v>225</v>
      </c>
      <c r="BQ24" s="3" t="s">
        <v>298</v>
      </c>
      <c r="BR24" s="4" t="s">
        <v>62</v>
      </c>
      <c r="BS24" s="19" t="s">
        <v>107</v>
      </c>
    </row>
    <row r="25" spans="1:71" ht="44.4" customHeight="1" x14ac:dyDescent="0.3">
      <c r="A25" s="4" t="s">
        <v>34</v>
      </c>
      <c r="B25" s="10">
        <v>8</v>
      </c>
      <c r="C25" s="10">
        <v>8</v>
      </c>
      <c r="D25" s="10">
        <v>8</v>
      </c>
      <c r="E25" s="10">
        <v>7</v>
      </c>
      <c r="F25" s="10">
        <v>6</v>
      </c>
      <c r="G25" s="10">
        <v>9</v>
      </c>
      <c r="H25" s="10">
        <v>2</v>
      </c>
      <c r="I25" s="10">
        <v>8</v>
      </c>
      <c r="J25" s="10">
        <v>6</v>
      </c>
      <c r="K25" s="10">
        <v>5</v>
      </c>
      <c r="L25" s="10">
        <f>(C25+E25+F25+G25)/4</f>
        <v>7.5</v>
      </c>
      <c r="M25" s="10">
        <f>(B25+H25)/2</f>
        <v>5</v>
      </c>
      <c r="N25" s="10">
        <f>(D25+I25+J25+K25)/4</f>
        <v>6.75</v>
      </c>
      <c r="O25" s="10">
        <f>(D25+G25)/2</f>
        <v>8.5</v>
      </c>
      <c r="P25" s="10">
        <f>ROUND((1/3)*(C25+D25+F25),1)</f>
        <v>7.3</v>
      </c>
      <c r="Q25" s="10">
        <f>ROUND((1/4)*(E25+H25+J25+K25),1)</f>
        <v>5</v>
      </c>
      <c r="R25" s="10">
        <f>S25-10*MIN(P25,Q25,B25)</f>
        <v>7.1000000000000014</v>
      </c>
      <c r="S25" s="10">
        <f>ROUND(0.5*(10/3)*(L25+M25+N25)+(1-0.5)*10*MIN(L25,M25,N25,O25),1)</f>
        <v>57.1</v>
      </c>
      <c r="T25" s="10">
        <f>ROUND((10/3)*(L25+M25+N25) - 10*MIN(L25,M25,N25,O25),0)</f>
        <v>14</v>
      </c>
      <c r="U25" s="11">
        <v>6</v>
      </c>
      <c r="V25" s="10">
        <v>8</v>
      </c>
      <c r="W25" s="10">
        <v>2</v>
      </c>
      <c r="X25" s="10">
        <v>9</v>
      </c>
      <c r="Y25" s="10">
        <v>8</v>
      </c>
      <c r="Z25" s="10">
        <v>8</v>
      </c>
      <c r="AA25" s="10">
        <v>9</v>
      </c>
      <c r="AB25" s="10">
        <v>3</v>
      </c>
      <c r="AC25" s="10">
        <v>8</v>
      </c>
      <c r="AD25" s="10">
        <v>8</v>
      </c>
      <c r="AE25" s="10">
        <f>(V25+X25+Y25+Z25)/4</f>
        <v>8.25</v>
      </c>
      <c r="AF25" s="10">
        <f>(U25+AA25)/2</f>
        <v>7.5</v>
      </c>
      <c r="AG25" s="10">
        <f>(W25+AB25+AC25+AD25)/4</f>
        <v>5.25</v>
      </c>
      <c r="AH25" s="10">
        <f>(W25+Z25)/2</f>
        <v>5</v>
      </c>
      <c r="AI25" s="10">
        <f>ROUND((V25+W25+Y25)/3,1)</f>
        <v>6</v>
      </c>
      <c r="AJ25" s="10">
        <f>ROUND((X25+AA25+AC25+AD25)/4,1)</f>
        <v>8.5</v>
      </c>
      <c r="AK25" s="10">
        <f>AL25-10*MIN(AI25,AJ25,AF25)</f>
        <v>0</v>
      </c>
      <c r="AL25" s="10">
        <f>ROUND(0.5*(10/3)*(AE25+AF25+AG25)+(1-0.5)*10*MIN(AE25,AF25,AG25,AH25),1)</f>
        <v>60</v>
      </c>
      <c r="AM25" s="10">
        <f>ROUND((10/3)*(AE25+AF25+AG25)-10*MIN(AE25,AF25,AG25,AH25),0)</f>
        <v>20</v>
      </c>
      <c r="AN25" s="10" t="s">
        <v>71</v>
      </c>
      <c r="AO25" s="10">
        <f>(V25+X25+Y25+Z25+C25+E25+F25+G25)/8</f>
        <v>7.875</v>
      </c>
      <c r="AP25" s="10">
        <f>(B25+H25+U25+AA25)/4</f>
        <v>6.25</v>
      </c>
      <c r="AQ25" s="10">
        <f>(W25+AB25+AC25+AD25+D25+I25+J25+K25)/8</f>
        <v>6</v>
      </c>
      <c r="AR25" s="10">
        <f>(D25+W25+G25+Z25)/4</f>
        <v>6.75</v>
      </c>
      <c r="AS25" s="10">
        <f>ROUND(0.5*(10/3)*(AO25+AP25+AQ25)+(1-0.5)*10*MIN(AO25,AP25,AQ25,AR25),1)</f>
        <v>63.5</v>
      </c>
      <c r="AT25" s="10">
        <f>ROUND((10/3)*(AO25+AP25+AQ25)-10*MIN(AO25,AP25,AQ25,AR25),0)</f>
        <v>7</v>
      </c>
      <c r="AU25" s="10"/>
      <c r="AV25" s="10"/>
      <c r="AW25" s="10"/>
      <c r="AX25" s="10"/>
      <c r="AY25" s="10"/>
      <c r="AZ25" s="10"/>
      <c r="BA25" s="10" t="s">
        <v>216</v>
      </c>
      <c r="BB25" s="10"/>
      <c r="BC25" s="10">
        <f>BB25-AY25</f>
        <v>0</v>
      </c>
      <c r="BD25" s="10" t="e">
        <f>ROUND(AV25/BC25,1)</f>
        <v>#DIV/0!</v>
      </c>
      <c r="BE25" s="10" t="e">
        <f>ROUND(100*AW25/AV25,1)</f>
        <v>#DIV/0!</v>
      </c>
      <c r="BF25" s="8" t="e">
        <f>ROUND(100*AX25/AV25,1)</f>
        <v>#DIV/0!</v>
      </c>
      <c r="BG25" s="10">
        <f>LOOKUP(BC25,$A$47:$A$61,$B$47:$B$61)</f>
        <v>0</v>
      </c>
      <c r="BH25" s="10"/>
      <c r="BI25" s="10"/>
      <c r="BJ25" s="10" t="e">
        <f>BD25*BG25</f>
        <v>#DIV/0!</v>
      </c>
      <c r="BK25" s="10"/>
      <c r="BL25" s="3"/>
      <c r="BM25" s="3"/>
      <c r="BN25" s="3"/>
      <c r="BO25" s="3"/>
      <c r="BP25" s="10"/>
      <c r="BQ25" s="3"/>
      <c r="BR25" s="4" t="s">
        <v>117</v>
      </c>
      <c r="BS25" s="20" t="s">
        <v>71</v>
      </c>
    </row>
    <row r="26" spans="1:71" ht="42.6" customHeight="1" x14ac:dyDescent="0.3">
      <c r="A26" s="4" t="s">
        <v>21</v>
      </c>
      <c r="B26" s="10">
        <v>5</v>
      </c>
      <c r="C26" s="10">
        <v>7</v>
      </c>
      <c r="D26" s="10">
        <v>6</v>
      </c>
      <c r="E26" s="10">
        <v>7.5</v>
      </c>
      <c r="F26" s="10">
        <v>7</v>
      </c>
      <c r="G26" s="10">
        <v>7</v>
      </c>
      <c r="H26" s="10">
        <v>8</v>
      </c>
      <c r="I26" s="10">
        <v>6</v>
      </c>
      <c r="J26" s="10">
        <v>8</v>
      </c>
      <c r="K26" s="10">
        <v>8</v>
      </c>
      <c r="L26" s="10">
        <f>(C26+E26+F26+G26)/4</f>
        <v>7.125</v>
      </c>
      <c r="M26" s="10">
        <f>(B26+H26)/2</f>
        <v>6.5</v>
      </c>
      <c r="N26" s="10">
        <f>(D26+I26+J26+K26)/4</f>
        <v>7</v>
      </c>
      <c r="O26" s="10">
        <f>(D26+G26)/2</f>
        <v>6.5</v>
      </c>
      <c r="P26" s="10">
        <f>ROUND((1/3)*(C26+D26+F26),1)</f>
        <v>6.7</v>
      </c>
      <c r="Q26" s="10">
        <f>ROUND((1/4)*(E26+H26+J26+K26),1)</f>
        <v>7.9</v>
      </c>
      <c r="R26" s="10">
        <f>S26-10*MIN(P26,Q26,B26)</f>
        <v>16.900000000000006</v>
      </c>
      <c r="S26" s="10">
        <f>ROUND(0.5*(10/3)*(L26+M26+N26)+(1-0.5)*10*MIN(L26,M26,N26,O26),1)</f>
        <v>66.900000000000006</v>
      </c>
      <c r="T26" s="10">
        <f>ROUND((10/3)*(L26+M26+N26) - 10*MIN(L26,M26,N26,O26),0)</f>
        <v>4</v>
      </c>
      <c r="U26" s="11">
        <v>6</v>
      </c>
      <c r="V26" s="10">
        <v>8</v>
      </c>
      <c r="W26" s="10">
        <v>5</v>
      </c>
      <c r="X26" s="10">
        <v>8</v>
      </c>
      <c r="Y26" s="10">
        <v>6</v>
      </c>
      <c r="Z26" s="10">
        <v>5</v>
      </c>
      <c r="AA26" s="10">
        <v>7</v>
      </c>
      <c r="AB26" s="10">
        <v>6</v>
      </c>
      <c r="AC26" s="10">
        <v>7</v>
      </c>
      <c r="AD26" s="10">
        <v>8</v>
      </c>
      <c r="AE26" s="10">
        <f>(V26+X26+Y26+Z26)/4</f>
        <v>6.75</v>
      </c>
      <c r="AF26" s="10">
        <f>(U26+AA26)/2</f>
        <v>6.5</v>
      </c>
      <c r="AG26" s="10">
        <f>(W26+AB26+AC26+AD26)/4</f>
        <v>6.5</v>
      </c>
      <c r="AH26" s="10">
        <f>(W26+Z26)/2</f>
        <v>5</v>
      </c>
      <c r="AI26" s="10">
        <f>ROUND((V26+W26+Y26)/3,1)</f>
        <v>6.3</v>
      </c>
      <c r="AJ26" s="10">
        <f>ROUND((X26+AA26+AC26+AD26)/4,1)</f>
        <v>7.5</v>
      </c>
      <c r="AK26" s="10">
        <f>AL26-10*MIN(AI26,AJ26,AF26)</f>
        <v>-5.1000000000000014</v>
      </c>
      <c r="AL26" s="10">
        <f>ROUND(0.5*(10/3)*(AE26+AF26+AG26)+(1-0.5)*10*MIN(AE26,AF26,AG26,AH26),1)</f>
        <v>57.9</v>
      </c>
      <c r="AM26" s="10">
        <f>ROUND((10/3)*(AE26+AF26+AG26)-10*MIN(AE26,AF26,AG26,AH26),0)</f>
        <v>16</v>
      </c>
      <c r="AN26" s="10" t="s">
        <v>174</v>
      </c>
      <c r="AO26" s="10">
        <f>(V26+X26+Y26+Z26+C26+E26+F26+G26)/8</f>
        <v>6.9375</v>
      </c>
      <c r="AP26" s="10">
        <f>(B26+H26+U26+AA26)/4</f>
        <v>6.5</v>
      </c>
      <c r="AQ26" s="10">
        <f>(W26+AB26+AC26+AD26+D26+I26+J26+K26)/8</f>
        <v>6.75</v>
      </c>
      <c r="AR26" s="10">
        <f>(D26+W26+G26+Z26)/4</f>
        <v>5.75</v>
      </c>
      <c r="AS26" s="10">
        <f>ROUND(0.5*(10/3)*(AO26+AP26+AQ26)+(1-0.5)*10*MIN(AO26,AP26,AQ26,AR26),1)</f>
        <v>62.4</v>
      </c>
      <c r="AT26" s="10">
        <f>ROUND((10/3)*(AO26+AP26+AQ26)-10*MIN(AO26,AP26,AQ26,AR26),0)</f>
        <v>10</v>
      </c>
      <c r="AU26" s="10">
        <v>442</v>
      </c>
      <c r="AV26" s="10">
        <v>204829</v>
      </c>
      <c r="AW26" s="10">
        <v>2693</v>
      </c>
      <c r="AX26" s="10">
        <v>820</v>
      </c>
      <c r="AY26" s="17">
        <v>42091</v>
      </c>
      <c r="AZ26" s="10" t="s">
        <v>198</v>
      </c>
      <c r="BA26" s="10" t="s">
        <v>25</v>
      </c>
      <c r="BB26" s="17">
        <v>46121</v>
      </c>
      <c r="BC26" s="10">
        <f>BB26-AY26</f>
        <v>4030</v>
      </c>
      <c r="BD26" s="10">
        <f>ROUND(AV26/BC26,1)</f>
        <v>50.8</v>
      </c>
      <c r="BE26" s="10">
        <f>ROUND(100*AW26/AV26,1)</f>
        <v>1.3</v>
      </c>
      <c r="BF26" s="10">
        <f>ROUND(100*AX26/AV26,1)</f>
        <v>0.4</v>
      </c>
      <c r="BG26" s="10">
        <f>LOOKUP(BC26,$A$47:$A$61,$B$47:$B$61)</f>
        <v>1</v>
      </c>
      <c r="BH26" s="10">
        <v>68</v>
      </c>
      <c r="BI26" s="10" t="s">
        <v>220</v>
      </c>
      <c r="BJ26" s="10">
        <f>BD26*BG26</f>
        <v>50.8</v>
      </c>
      <c r="BK26" s="10" t="s">
        <v>231</v>
      </c>
      <c r="BL26" s="3" t="s">
        <v>327</v>
      </c>
      <c r="BM26" s="3" t="s">
        <v>331</v>
      </c>
      <c r="BN26" s="3" t="s">
        <v>259</v>
      </c>
      <c r="BO26" s="3" t="s">
        <v>338</v>
      </c>
      <c r="BP26" s="10" t="s">
        <v>222</v>
      </c>
      <c r="BQ26" s="3" t="s">
        <v>283</v>
      </c>
      <c r="BR26" s="4" t="s">
        <v>91</v>
      </c>
      <c r="BS26" s="19" t="s">
        <v>90</v>
      </c>
    </row>
    <row r="27" spans="1:71" ht="42.6" customHeight="1" x14ac:dyDescent="0.3">
      <c r="A27" s="4" t="s">
        <v>29</v>
      </c>
      <c r="B27" s="10">
        <v>7</v>
      </c>
      <c r="C27" s="10">
        <v>8</v>
      </c>
      <c r="D27" s="10">
        <v>8</v>
      </c>
      <c r="E27" s="10">
        <v>6</v>
      </c>
      <c r="F27" s="10">
        <v>5</v>
      </c>
      <c r="G27" s="10">
        <v>9</v>
      </c>
      <c r="H27" s="10">
        <v>2</v>
      </c>
      <c r="I27" s="10">
        <v>7</v>
      </c>
      <c r="J27" s="10">
        <v>7</v>
      </c>
      <c r="K27" s="10">
        <v>5</v>
      </c>
      <c r="L27" s="10">
        <f>(C27+E27+F27+G27)/4</f>
        <v>7</v>
      </c>
      <c r="M27" s="10">
        <f>(B27+H27)/2</f>
        <v>4.5</v>
      </c>
      <c r="N27" s="10">
        <f>(D27+I27+J27+K27)/4</f>
        <v>6.75</v>
      </c>
      <c r="O27" s="10">
        <f>(D27+G27)/2</f>
        <v>8.5</v>
      </c>
      <c r="P27" s="10">
        <f>ROUND((1/3)*(C27+D27+F27),1)</f>
        <v>7</v>
      </c>
      <c r="Q27" s="10">
        <f>ROUND((1/4)*(E27+H27+J27+K27),1)</f>
        <v>5</v>
      </c>
      <c r="R27" s="10">
        <f>S27-10*MIN(P27,Q27,B27)</f>
        <v>2.8999999999999986</v>
      </c>
      <c r="S27" s="10">
        <f>ROUND(0.5*(10/3)*(L27+M27+N27)+(1-0.5)*10*MIN(L27,M27,N27,O27),1)</f>
        <v>52.9</v>
      </c>
      <c r="T27" s="10">
        <f>ROUND((10/3)*(L27+M27+N27) - 10*MIN(L27,M27,N27,O27),0)</f>
        <v>16</v>
      </c>
      <c r="U27" s="11">
        <v>5</v>
      </c>
      <c r="V27" s="10">
        <v>8</v>
      </c>
      <c r="W27" s="10">
        <v>3</v>
      </c>
      <c r="X27" s="10">
        <v>9</v>
      </c>
      <c r="Y27" s="10">
        <v>8</v>
      </c>
      <c r="Z27" s="10">
        <v>7</v>
      </c>
      <c r="AA27" s="10">
        <v>9</v>
      </c>
      <c r="AB27" s="10">
        <v>4</v>
      </c>
      <c r="AC27" s="10">
        <v>8</v>
      </c>
      <c r="AD27" s="10">
        <v>8</v>
      </c>
      <c r="AE27" s="10">
        <f>(V27+X27+Y27+Z27)/4</f>
        <v>8</v>
      </c>
      <c r="AF27" s="10">
        <f>(U27+AA27)/2</f>
        <v>7</v>
      </c>
      <c r="AG27" s="10">
        <f>(W27+AB27+AC27+AD27)/4</f>
        <v>5.75</v>
      </c>
      <c r="AH27" s="10">
        <f>(W27+Z27)/2</f>
        <v>5</v>
      </c>
      <c r="AI27" s="10">
        <f>ROUND((V27+W27+Y27)/3,1)</f>
        <v>6.3</v>
      </c>
      <c r="AJ27" s="10">
        <f>ROUND((X27+AA27+AC27+AD27)/4,1)</f>
        <v>8.5</v>
      </c>
      <c r="AK27" s="10">
        <f>AL27-10*MIN(AI27,AJ27,AF27)</f>
        <v>-3.3999999999999986</v>
      </c>
      <c r="AL27" s="10">
        <f>ROUND(0.5*(10/3)*(AE27+AF27+AG27)+(1-0.5)*10*MIN(AE27,AF27,AG27,AH27),1)</f>
        <v>59.6</v>
      </c>
      <c r="AM27" s="10">
        <f>ROUND((10/3)*(AE27+AF27+AG27)-10*MIN(AE27,AF27,AG27,AH27),0)</f>
        <v>19</v>
      </c>
      <c r="AN27" s="10" t="s">
        <v>71</v>
      </c>
      <c r="AO27" s="10">
        <f>(V27+X27+Y27+Z27+C27+E27+F27+G27)/8</f>
        <v>7.5</v>
      </c>
      <c r="AP27" s="10">
        <f>(B27+H27+U27+AA27)/4</f>
        <v>5.75</v>
      </c>
      <c r="AQ27" s="10">
        <f>(W27+AB27+AC27+AD27+D27+I27+J27+K27)/8</f>
        <v>6.25</v>
      </c>
      <c r="AR27" s="10">
        <f>(D27+W27+G27+Z27)/4</f>
        <v>6.75</v>
      </c>
      <c r="AS27" s="10">
        <f>ROUND(0.5*(10/3)*(AO27+AP27+AQ27)+(1-0.5)*10*MIN(AO27,AP27,AQ27,AR27),1)</f>
        <v>61.3</v>
      </c>
      <c r="AT27" s="10">
        <f>ROUND((10/3)*(AO27+AP27+AQ27)-10*MIN(AO27,AP27,AQ27,AR27),0)</f>
        <v>8</v>
      </c>
      <c r="AU27" s="10"/>
      <c r="AV27" s="10"/>
      <c r="AW27" s="10"/>
      <c r="AX27" s="10"/>
      <c r="AY27" s="10"/>
      <c r="AZ27" s="10"/>
      <c r="BA27" s="10" t="s">
        <v>216</v>
      </c>
      <c r="BB27" s="10"/>
      <c r="BC27" s="10">
        <f>BB27-AY27</f>
        <v>0</v>
      </c>
      <c r="BD27" s="10" t="e">
        <f>ROUND(AV27/BC27,1)</f>
        <v>#DIV/0!</v>
      </c>
      <c r="BE27" s="10" t="e">
        <f>ROUND(100*AW27/AV27,1)</f>
        <v>#DIV/0!</v>
      </c>
      <c r="BF27" s="8" t="e">
        <f>ROUND(100*AX27/AV27,1)</f>
        <v>#DIV/0!</v>
      </c>
      <c r="BG27" s="10">
        <f>LOOKUP(BC27,$A$47:$A$61,$B$47:$B$61)</f>
        <v>0</v>
      </c>
      <c r="BH27" s="10"/>
      <c r="BI27" s="10"/>
      <c r="BJ27" s="10" t="e">
        <f>BD27*BG27</f>
        <v>#DIV/0!</v>
      </c>
      <c r="BK27" s="10"/>
      <c r="BL27" s="3"/>
      <c r="BM27" s="3"/>
      <c r="BN27" s="3"/>
      <c r="BO27" s="3"/>
      <c r="BP27" s="10"/>
      <c r="BQ27" s="3"/>
      <c r="BR27" s="4" t="s">
        <v>116</v>
      </c>
      <c r="BS27" s="20" t="s">
        <v>71</v>
      </c>
    </row>
    <row r="28" spans="1:71" ht="39" customHeight="1" x14ac:dyDescent="0.3">
      <c r="A28" s="4" t="s">
        <v>18</v>
      </c>
      <c r="B28" s="10">
        <v>9</v>
      </c>
      <c r="C28" s="10">
        <v>4</v>
      </c>
      <c r="D28" s="10">
        <v>8</v>
      </c>
      <c r="E28" s="10">
        <v>6.5</v>
      </c>
      <c r="F28" s="10">
        <v>6</v>
      </c>
      <c r="G28" s="10">
        <v>7</v>
      </c>
      <c r="H28" s="10">
        <v>5</v>
      </c>
      <c r="I28" s="10">
        <v>7</v>
      </c>
      <c r="J28" s="10">
        <v>6</v>
      </c>
      <c r="K28" s="10">
        <v>5</v>
      </c>
      <c r="L28" s="10">
        <f>(C28+E28+F28+G28)/4</f>
        <v>5.875</v>
      </c>
      <c r="M28" s="10">
        <f>(B28+H28)/2</f>
        <v>7</v>
      </c>
      <c r="N28" s="10">
        <f>(D28+I28+J28+K28)/4</f>
        <v>6.5</v>
      </c>
      <c r="O28" s="10">
        <f>(D28+G28)/2</f>
        <v>7.5</v>
      </c>
      <c r="P28" s="10">
        <f>ROUND((1/3)*(C28+D28+F28),1)</f>
        <v>6</v>
      </c>
      <c r="Q28" s="10">
        <f>ROUND((1/4)*(E28+H28+J28+K28),1)</f>
        <v>5.6</v>
      </c>
      <c r="R28" s="10">
        <f>S28-10*MIN(P28,Q28,B28)</f>
        <v>5.7000000000000028</v>
      </c>
      <c r="S28" s="10">
        <f>ROUND(0.5*(10/3)*(L28+M28+N28)+(1-0.5)*10*MIN(L28,M28,N28,O28),1)</f>
        <v>61.7</v>
      </c>
      <c r="T28" s="10">
        <f>ROUND((10/3)*(L28+M28+N28) - 10*MIN(L28,M28,N28,O28),0)</f>
        <v>6</v>
      </c>
      <c r="U28" s="11">
        <v>7</v>
      </c>
      <c r="V28" s="10">
        <v>5</v>
      </c>
      <c r="W28" s="10">
        <v>6</v>
      </c>
      <c r="X28" s="10">
        <v>6.5</v>
      </c>
      <c r="Y28" s="10">
        <v>5</v>
      </c>
      <c r="Z28" s="10">
        <v>7</v>
      </c>
      <c r="AA28" s="10">
        <v>5</v>
      </c>
      <c r="AB28" s="10">
        <v>7</v>
      </c>
      <c r="AC28" s="10">
        <v>6</v>
      </c>
      <c r="AD28" s="10">
        <v>6</v>
      </c>
      <c r="AE28" s="10">
        <f>(V28+X28+Y28+Z28)/4</f>
        <v>5.875</v>
      </c>
      <c r="AF28" s="10">
        <f>(U28+AA28)/2</f>
        <v>6</v>
      </c>
      <c r="AG28" s="10">
        <f>(W28+AB28+AC28+AD28)/4</f>
        <v>6.25</v>
      </c>
      <c r="AH28" s="10">
        <f>(W28+Z28)/2</f>
        <v>6.5</v>
      </c>
      <c r="AI28" s="10">
        <f>ROUND((V28+W28+Y28)/3,1)</f>
        <v>5.3</v>
      </c>
      <c r="AJ28" s="10">
        <f>ROUND((X28+AA28+AC28+AD28)/4,1)</f>
        <v>5.9</v>
      </c>
      <c r="AK28" s="10">
        <f>AL28-10*MIN(AI28,AJ28,AF28)</f>
        <v>6.6000000000000014</v>
      </c>
      <c r="AL28" s="10">
        <f>ROUND(0.5*(10/3)*(AE28+AF28+AG28)+(1-0.5)*10*MIN(AE28,AF28,AG28,AH28),1)</f>
        <v>59.6</v>
      </c>
      <c r="AM28" s="10">
        <f>ROUND((10/3)*(AE28+AF28+AG28)-10*MIN(AE28,AF28,AG28,AH28),0)</f>
        <v>2</v>
      </c>
      <c r="AN28" s="10" t="s">
        <v>174</v>
      </c>
      <c r="AO28" s="10">
        <f>(V28+X28+Y28+Z28+C28+E28+F28+G28)/8</f>
        <v>5.875</v>
      </c>
      <c r="AP28" s="10">
        <f>(B28+H28+U28+AA28)/4</f>
        <v>6.5</v>
      </c>
      <c r="AQ28" s="10">
        <f>(W28+AB28+AC28+AD28+D28+I28+J28+K28)/8</f>
        <v>6.375</v>
      </c>
      <c r="AR28" s="10">
        <f>(D28+W28+G28+Z28)/4</f>
        <v>7</v>
      </c>
      <c r="AS28" s="10">
        <f>ROUND(0.5*(10/3)*(AO28+AP28+AQ28)+(1-0.5)*10*MIN(AO28,AP28,AQ28,AR28),1)</f>
        <v>60.6</v>
      </c>
      <c r="AT28" s="10">
        <f>ROUND((10/3)*(AO28+AP28+AQ28)-10*MIN(AO28,AP28,AQ28,AR28),0)</f>
        <v>4</v>
      </c>
      <c r="AU28" s="10">
        <v>295</v>
      </c>
      <c r="AV28" s="10">
        <v>59926</v>
      </c>
      <c r="AW28" s="10">
        <v>901</v>
      </c>
      <c r="AX28" s="10">
        <v>265</v>
      </c>
      <c r="AY28" s="17">
        <v>43960</v>
      </c>
      <c r="AZ28" s="10" t="s">
        <v>198</v>
      </c>
      <c r="BA28" s="10" t="s">
        <v>26</v>
      </c>
      <c r="BB28" s="17">
        <v>46121</v>
      </c>
      <c r="BC28" s="10">
        <f>BB28-AY28</f>
        <v>2161</v>
      </c>
      <c r="BD28" s="10">
        <f>ROUND(AV28/BC28,1)</f>
        <v>27.7</v>
      </c>
      <c r="BE28" s="10">
        <f>ROUND(100*AW28/AV28,1)</f>
        <v>1.5</v>
      </c>
      <c r="BF28" s="10">
        <f>ROUND(100*AX28/AV28,1)</f>
        <v>0.4</v>
      </c>
      <c r="BG28" s="10">
        <f>LOOKUP(BC28,$A$47:$A$61,$B$47:$B$61)</f>
        <v>0.99</v>
      </c>
      <c r="BH28" s="10">
        <v>63</v>
      </c>
      <c r="BI28" s="10" t="s">
        <v>220</v>
      </c>
      <c r="BJ28" s="10">
        <f>BD28*BG28</f>
        <v>27.422999999999998</v>
      </c>
      <c r="BK28" s="10" t="s">
        <v>134</v>
      </c>
      <c r="BL28" s="3" t="s">
        <v>243</v>
      </c>
      <c r="BM28" s="3" t="s">
        <v>244</v>
      </c>
      <c r="BN28" s="3" t="s">
        <v>245</v>
      </c>
      <c r="BO28" s="3" t="s">
        <v>246</v>
      </c>
      <c r="BP28" s="10" t="s">
        <v>233</v>
      </c>
      <c r="BQ28" s="3" t="s">
        <v>275</v>
      </c>
      <c r="BR28" s="4" t="s">
        <v>80</v>
      </c>
      <c r="BS28" s="19" t="s">
        <v>79</v>
      </c>
    </row>
    <row r="29" spans="1:71" ht="24" customHeight="1" x14ac:dyDescent="0.3">
      <c r="A29" s="4" t="s">
        <v>15</v>
      </c>
      <c r="B29" s="10">
        <v>10</v>
      </c>
      <c r="C29" s="10">
        <v>8</v>
      </c>
      <c r="D29" s="10">
        <v>7</v>
      </c>
      <c r="E29" s="10">
        <v>7.5</v>
      </c>
      <c r="F29" s="10">
        <v>7</v>
      </c>
      <c r="G29" s="10">
        <v>8</v>
      </c>
      <c r="H29" s="10">
        <v>3</v>
      </c>
      <c r="I29" s="10">
        <v>5</v>
      </c>
      <c r="J29" s="10">
        <v>6</v>
      </c>
      <c r="K29" s="10">
        <v>3</v>
      </c>
      <c r="L29" s="10">
        <f>(C29+E29+F29+G29)/4</f>
        <v>7.625</v>
      </c>
      <c r="M29" s="10">
        <f>(B29+H29)/2</f>
        <v>6.5</v>
      </c>
      <c r="N29" s="10">
        <f>(D29+I29+J29+K29)/4</f>
        <v>5.25</v>
      </c>
      <c r="O29" s="10">
        <f>(D29+G29)/2</f>
        <v>7.5</v>
      </c>
      <c r="P29" s="10">
        <f>ROUND((1/3)*(C29+D29+F29),1)</f>
        <v>7.3</v>
      </c>
      <c r="Q29" s="10">
        <f>ROUND((1/4)*(E29+H29+J29+K29),1)</f>
        <v>4.9000000000000004</v>
      </c>
      <c r="R29" s="10">
        <f>S29-10*MIN(P29,Q29,B29)</f>
        <v>9.5</v>
      </c>
      <c r="S29" s="10">
        <f>ROUND(0.5*(10/3)*(L29+M29+N29)+(1-0.5)*10*MIN(L29,M29,N29,O29),1)</f>
        <v>58.5</v>
      </c>
      <c r="T29" s="10">
        <f>ROUND((10/3)*(L29+M29+N29) - 10*MIN(L29,M29,N29,O29),0)</f>
        <v>12</v>
      </c>
      <c r="U29" s="11">
        <v>10</v>
      </c>
      <c r="V29" s="10">
        <v>8</v>
      </c>
      <c r="W29" s="10">
        <v>7</v>
      </c>
      <c r="X29" s="10">
        <v>7.5</v>
      </c>
      <c r="Y29" s="10">
        <v>8</v>
      </c>
      <c r="Z29" s="10">
        <v>8</v>
      </c>
      <c r="AA29" s="10">
        <v>3</v>
      </c>
      <c r="AB29" s="10">
        <v>5</v>
      </c>
      <c r="AC29" s="10">
        <v>7</v>
      </c>
      <c r="AD29" s="10">
        <v>3</v>
      </c>
      <c r="AE29" s="10">
        <f>(V29+X29+Y29+Z29)/4</f>
        <v>7.875</v>
      </c>
      <c r="AF29" s="10">
        <f>(U29+AA29)/2</f>
        <v>6.5</v>
      </c>
      <c r="AG29" s="10">
        <f>(W29+AB29+AC29+AD29)/4</f>
        <v>5.5</v>
      </c>
      <c r="AH29" s="10">
        <f>(W29+Z29)/2</f>
        <v>7.5</v>
      </c>
      <c r="AI29" s="10">
        <f>ROUND((V29+W29+Y29)/3,1)</f>
        <v>7.7</v>
      </c>
      <c r="AJ29" s="10">
        <f>ROUND((X29+AA29+AC29+AD29)/4,1)</f>
        <v>5.0999999999999996</v>
      </c>
      <c r="AK29" s="10">
        <f>AL29-10*MIN(AI29,AJ29,AF29)</f>
        <v>9.6000000000000014</v>
      </c>
      <c r="AL29" s="10">
        <f>ROUND(0.5*(10/3)*(AE29+AF29+AG29)+(1-0.5)*10*MIN(AE29,AF29,AG29,AH29),1)</f>
        <v>60.6</v>
      </c>
      <c r="AM29" s="10">
        <f>ROUND((10/3)*(AE29+AF29+AG29)-10*MIN(AE29,AF29,AG29,AH29),0)</f>
        <v>11</v>
      </c>
      <c r="AN29" s="10" t="s">
        <v>174</v>
      </c>
      <c r="AO29" s="10">
        <f>(V29+X29+Y29+Z29+C29+E29+F29+G29)/8</f>
        <v>7.75</v>
      </c>
      <c r="AP29" s="10">
        <f>(B29+H29+U29+AA29)/4</f>
        <v>6.5</v>
      </c>
      <c r="AQ29" s="10">
        <f>(W29+AB29+AC29+AD29+D29+I29+J29+K29)/8</f>
        <v>5.375</v>
      </c>
      <c r="AR29" s="10">
        <f>(D29+W29+G29+Z29)/4</f>
        <v>7.5</v>
      </c>
      <c r="AS29" s="10">
        <f>ROUND(0.5*(10/3)*(AO29+AP29+AQ29)+(1-0.5)*10*MIN(AO29,AP29,AQ29,AR29),1)</f>
        <v>59.6</v>
      </c>
      <c r="AT29" s="10">
        <f>ROUND((10/3)*(AO29+AP29+AQ29)-10*MIN(AO29,AP29,AQ29,AR29),0)</f>
        <v>12</v>
      </c>
      <c r="AU29" s="10">
        <v>4</v>
      </c>
      <c r="AV29" s="10">
        <v>3176</v>
      </c>
      <c r="AW29" s="10">
        <v>167</v>
      </c>
      <c r="AX29" s="10">
        <v>17</v>
      </c>
      <c r="AY29" s="17">
        <v>42056</v>
      </c>
      <c r="AZ29" s="10" t="s">
        <v>198</v>
      </c>
      <c r="BA29" s="10" t="s">
        <v>25</v>
      </c>
      <c r="BB29" s="17">
        <v>46121</v>
      </c>
      <c r="BC29" s="10">
        <f>BB29-AY29</f>
        <v>4065</v>
      </c>
      <c r="BD29" s="10">
        <f>ROUND(AV29/BC29,1)</f>
        <v>0.8</v>
      </c>
      <c r="BE29" s="10">
        <f>ROUND(100*AW29/AV29,1)</f>
        <v>5.3</v>
      </c>
      <c r="BF29" s="10">
        <f>ROUND(100*AX29/AV29,1)</f>
        <v>0.5</v>
      </c>
      <c r="BG29" s="10">
        <f>LOOKUP(BC29,$A$47:$A$61,$B$47:$B$61)</f>
        <v>1</v>
      </c>
      <c r="BH29" s="10">
        <v>75</v>
      </c>
      <c r="BI29" s="10" t="s">
        <v>220</v>
      </c>
      <c r="BJ29" s="10">
        <f>BD29*BG29</f>
        <v>0.8</v>
      </c>
      <c r="BK29" s="10" t="s">
        <v>134</v>
      </c>
      <c r="BL29" s="3" t="s">
        <v>328</v>
      </c>
      <c r="BM29" s="3" t="s">
        <v>223</v>
      </c>
      <c r="BN29" s="3" t="s">
        <v>337</v>
      </c>
      <c r="BO29" s="3" t="s">
        <v>224</v>
      </c>
      <c r="BP29" s="10" t="s">
        <v>222</v>
      </c>
      <c r="BQ29" s="3" t="s">
        <v>268</v>
      </c>
      <c r="BR29" s="4" t="s">
        <v>64</v>
      </c>
      <c r="BS29" s="19" t="s">
        <v>65</v>
      </c>
    </row>
    <row r="30" spans="1:71" ht="22.8" customHeight="1" x14ac:dyDescent="0.3">
      <c r="A30" s="4" t="s">
        <v>31</v>
      </c>
      <c r="B30" s="10">
        <v>7</v>
      </c>
      <c r="C30" s="10">
        <v>8</v>
      </c>
      <c r="D30" s="10">
        <v>7</v>
      </c>
      <c r="E30" s="10">
        <v>6</v>
      </c>
      <c r="F30" s="10">
        <v>5</v>
      </c>
      <c r="G30" s="10">
        <v>9</v>
      </c>
      <c r="H30" s="10">
        <v>2</v>
      </c>
      <c r="I30" s="10">
        <v>8</v>
      </c>
      <c r="J30" s="10">
        <v>8</v>
      </c>
      <c r="K30" s="10">
        <v>6</v>
      </c>
      <c r="L30" s="10">
        <f>(C30+E30+F30+G30)/4</f>
        <v>7</v>
      </c>
      <c r="M30" s="10">
        <f>(B30+H30)/2</f>
        <v>4.5</v>
      </c>
      <c r="N30" s="10">
        <f>(D30+I30+J30+K30)/4</f>
        <v>7.25</v>
      </c>
      <c r="O30" s="10">
        <f>(D30+G30)/2</f>
        <v>8</v>
      </c>
      <c r="P30" s="10">
        <f>ROUND((1/3)*(C30+D30+F30),1)</f>
        <v>6.7</v>
      </c>
      <c r="Q30" s="10">
        <f>ROUND((1/4)*(E30+H30+J30+K30),1)</f>
        <v>5.5</v>
      </c>
      <c r="R30" s="10">
        <f>S30-10*MIN(P30,Q30,B30)</f>
        <v>-1.2000000000000028</v>
      </c>
      <c r="S30" s="10">
        <f>ROUND(0.5*(10/3)*(L30+M30+N30)+(1-0.5)*10*MIN(L30,M30,N30,O30),1)</f>
        <v>53.8</v>
      </c>
      <c r="T30" s="10">
        <f>ROUND((10/3)*(L30+M30+N30) - 10*MIN(L30,M30,N30,O30),0)</f>
        <v>18</v>
      </c>
      <c r="U30" s="11">
        <v>4</v>
      </c>
      <c r="V30" s="10">
        <v>7</v>
      </c>
      <c r="W30" s="10">
        <v>3</v>
      </c>
      <c r="X30" s="10">
        <v>8</v>
      </c>
      <c r="Y30" s="10">
        <v>7</v>
      </c>
      <c r="Z30" s="10">
        <v>7</v>
      </c>
      <c r="AA30" s="10">
        <v>9</v>
      </c>
      <c r="AB30" s="10">
        <v>4</v>
      </c>
      <c r="AC30" s="10">
        <v>8</v>
      </c>
      <c r="AD30" s="10">
        <v>8</v>
      </c>
      <c r="AE30" s="10">
        <f>(V30+X30+Y30+Z30)/4</f>
        <v>7.25</v>
      </c>
      <c r="AF30" s="10">
        <f>(U30+AA30)/2</f>
        <v>6.5</v>
      </c>
      <c r="AG30" s="10">
        <f>(W30+AB30+AC30+AD30)/4</f>
        <v>5.75</v>
      </c>
      <c r="AH30" s="10">
        <f>(W30+Z30)/2</f>
        <v>5</v>
      </c>
      <c r="AI30" s="10">
        <f>ROUND((V30+W30+Y30)/3,1)</f>
        <v>5.7</v>
      </c>
      <c r="AJ30" s="10">
        <f>ROUND((X30+AA30+AC30+AD30)/4,1)</f>
        <v>8.3000000000000007</v>
      </c>
      <c r="AK30" s="10">
        <f>AL30-10*MIN(AI30,AJ30,AF30)</f>
        <v>0.5</v>
      </c>
      <c r="AL30" s="10">
        <f>ROUND(0.5*(10/3)*(AE30+AF30+AG30)+(1-0.5)*10*MIN(AE30,AF30,AG30,AH30),1)</f>
        <v>57.5</v>
      </c>
      <c r="AM30" s="10">
        <f>ROUND((10/3)*(AE30+AF30+AG30)-10*MIN(AE30,AF30,AG30,AH30),0)</f>
        <v>15</v>
      </c>
      <c r="AN30" s="10" t="s">
        <v>71</v>
      </c>
      <c r="AO30" s="10">
        <f>(V30+X30+Y30+Z30+C30+E30+F30+G30)/8</f>
        <v>7.125</v>
      </c>
      <c r="AP30" s="10">
        <f>(B30+H30+U30+AA30)/4</f>
        <v>5.5</v>
      </c>
      <c r="AQ30" s="10">
        <f>(W30+AB30+AC30+AD30+D30+I30+J30+K30)/8</f>
        <v>6.5</v>
      </c>
      <c r="AR30" s="10">
        <f>(D30+W30+G30+Z30)/4</f>
        <v>6.5</v>
      </c>
      <c r="AS30" s="10">
        <f>ROUND(0.5*(10/3)*(AO30+AP30+AQ30)+(1-0.5)*10*MIN(AO30,AP30,AQ30,AR30),1)</f>
        <v>59.4</v>
      </c>
      <c r="AT30" s="10">
        <f>ROUND((10/3)*(AO30+AP30+AQ30)-10*MIN(AO30,AP30,AQ30,AR30),0)</f>
        <v>9</v>
      </c>
      <c r="AU30" s="10"/>
      <c r="AV30" s="10"/>
      <c r="AW30" s="10"/>
      <c r="AX30" s="10"/>
      <c r="AY30" s="10"/>
      <c r="AZ30" s="10"/>
      <c r="BA30" s="10" t="s">
        <v>216</v>
      </c>
      <c r="BB30" s="10"/>
      <c r="BC30" s="10">
        <f>BB30-AY30</f>
        <v>0</v>
      </c>
      <c r="BD30" s="10" t="e">
        <f>ROUND(AV30/BC30,1)</f>
        <v>#DIV/0!</v>
      </c>
      <c r="BE30" s="10" t="e">
        <f>ROUND(100*AW30/AV30,1)</f>
        <v>#DIV/0!</v>
      </c>
      <c r="BF30" s="8" t="e">
        <f>ROUND(100*AX30/AV30,1)</f>
        <v>#DIV/0!</v>
      </c>
      <c r="BG30" s="10">
        <f>LOOKUP(BC30,$A$47:$A$61,$B$47:$B$61)</f>
        <v>0</v>
      </c>
      <c r="BH30" s="10"/>
      <c r="BI30" s="10"/>
      <c r="BJ30" s="10" t="e">
        <f>BD30*BG30</f>
        <v>#DIV/0!</v>
      </c>
      <c r="BK30" s="10"/>
      <c r="BL30" s="3"/>
      <c r="BM30" s="3"/>
      <c r="BN30" s="3"/>
      <c r="BO30" s="3"/>
      <c r="BP30" s="10"/>
      <c r="BQ30" s="3"/>
      <c r="BR30" s="4" t="s">
        <v>119</v>
      </c>
      <c r="BS30" s="20" t="s">
        <v>71</v>
      </c>
    </row>
    <row r="31" spans="1:71" ht="28.2" customHeight="1" x14ac:dyDescent="0.3">
      <c r="A31" s="4" t="s">
        <v>36</v>
      </c>
      <c r="B31" s="10">
        <v>5</v>
      </c>
      <c r="C31" s="10">
        <v>6</v>
      </c>
      <c r="D31" s="10">
        <v>6</v>
      </c>
      <c r="E31" s="10">
        <v>5</v>
      </c>
      <c r="F31" s="10">
        <v>2</v>
      </c>
      <c r="G31" s="10">
        <v>6</v>
      </c>
      <c r="H31" s="10">
        <v>6</v>
      </c>
      <c r="I31" s="10">
        <v>7</v>
      </c>
      <c r="J31" s="10">
        <v>6</v>
      </c>
      <c r="K31" s="10">
        <v>6</v>
      </c>
      <c r="L31" s="10">
        <f>(C31+E31+F31+G31)/4</f>
        <v>4.75</v>
      </c>
      <c r="M31" s="10">
        <f>(B31+H31)/2</f>
        <v>5.5</v>
      </c>
      <c r="N31" s="10">
        <f>(D31+I31+J31+K31)/4</f>
        <v>6.25</v>
      </c>
      <c r="O31" s="10">
        <f>(D31+G31)/2</f>
        <v>6</v>
      </c>
      <c r="P31" s="10">
        <f>ROUND((1/3)*(C31+D31+F31),1)</f>
        <v>4.7</v>
      </c>
      <c r="Q31" s="10">
        <f>ROUND((1/4)*(E31+H31+J31+K31),1)</f>
        <v>5.8</v>
      </c>
      <c r="R31" s="10">
        <f>S31-10*MIN(P31,Q31,B31)</f>
        <v>4.2999999999999972</v>
      </c>
      <c r="S31" s="10">
        <f>ROUND(0.5*(10/3)*(L31+M31+N31)+(1-0.5)*10*MIN(L31,M31,N31,O31),1)</f>
        <v>51.3</v>
      </c>
      <c r="T31" s="10">
        <f>ROUND((10/3)*(L31+M31+N31) - 10*MIN(L31,M31,N31,O31),0)</f>
        <v>8</v>
      </c>
      <c r="U31" s="11">
        <v>5</v>
      </c>
      <c r="V31" s="10">
        <v>7</v>
      </c>
      <c r="W31" s="10">
        <v>8</v>
      </c>
      <c r="X31" s="10">
        <v>7</v>
      </c>
      <c r="Y31" s="10">
        <v>7</v>
      </c>
      <c r="Z31" s="10">
        <v>7</v>
      </c>
      <c r="AA31" s="10">
        <v>7</v>
      </c>
      <c r="AB31" s="10">
        <v>7</v>
      </c>
      <c r="AC31" s="10">
        <v>6</v>
      </c>
      <c r="AD31" s="10">
        <v>7</v>
      </c>
      <c r="AE31" s="10">
        <f>(V31+X31+Y31+Z31)/4</f>
        <v>7</v>
      </c>
      <c r="AF31" s="10">
        <f>(U31+AA31)/2</f>
        <v>6</v>
      </c>
      <c r="AG31" s="10">
        <f>(W31+AB31+AC31+AD31)/4</f>
        <v>7</v>
      </c>
      <c r="AH31" s="10">
        <f>(W31+Z31)/2</f>
        <v>7.5</v>
      </c>
      <c r="AI31" s="10">
        <f>ROUND((V31+W31+Y31)/3,1)</f>
        <v>7.3</v>
      </c>
      <c r="AJ31" s="10">
        <f>ROUND((X31+AA31+AC31+AD31)/4,1)</f>
        <v>6.8</v>
      </c>
      <c r="AK31" s="10">
        <f>AL31-10*MIN(AI31,AJ31,AF31)</f>
        <v>3.2999999999999972</v>
      </c>
      <c r="AL31" s="10">
        <f>ROUND(0.5*(10/3)*(AE31+AF31+AG31)+(1-0.5)*10*MIN(AE31,AF31,AG31,AH31),1)</f>
        <v>63.3</v>
      </c>
      <c r="AM31" s="10">
        <f>ROUND((10/3)*(AE31+AF31+AG31)-10*MIN(AE31,AF31,AG31,AH31),0)</f>
        <v>7</v>
      </c>
      <c r="AN31" s="10" t="s">
        <v>71</v>
      </c>
      <c r="AO31" s="10">
        <f>(V31+X31+Y31+Z31+C31+E31+F31+G31)/8</f>
        <v>5.875</v>
      </c>
      <c r="AP31" s="10">
        <f>(B31+H31+U31+AA31)/4</f>
        <v>5.75</v>
      </c>
      <c r="AQ31" s="10">
        <f>(W31+AB31+AC31+AD31+D31+I31+J31+K31)/8</f>
        <v>6.625</v>
      </c>
      <c r="AR31" s="10">
        <f>(D31+W31+G31+Z31)/4</f>
        <v>6.75</v>
      </c>
      <c r="AS31" s="10">
        <f>ROUND(0.5*(10/3)*(AO31+AP31+AQ31)+(1-0.5)*10*MIN(AO31,AP31,AQ31,AR31),1)</f>
        <v>59.2</v>
      </c>
      <c r="AT31" s="10">
        <f>ROUND((10/3)*(AO31+AP31+AQ31)-10*MIN(AO31,AP31,AQ31,AR31),0)</f>
        <v>3</v>
      </c>
      <c r="AU31" s="10"/>
      <c r="AV31" s="10"/>
      <c r="AW31" s="10"/>
      <c r="AX31" s="10"/>
      <c r="AY31" s="10"/>
      <c r="AZ31" s="10"/>
      <c r="BA31" s="10" t="s">
        <v>216</v>
      </c>
      <c r="BB31" s="10"/>
      <c r="BC31" s="10">
        <f>BB31-AY31</f>
        <v>0</v>
      </c>
      <c r="BD31" s="10" t="e">
        <f>ROUND(AV31/BC31,1)</f>
        <v>#DIV/0!</v>
      </c>
      <c r="BE31" s="10" t="e">
        <f>ROUND(100*AW31/AV31,1)</f>
        <v>#DIV/0!</v>
      </c>
      <c r="BF31" s="8" t="e">
        <f>ROUND(100*AX31/AV31,1)</f>
        <v>#DIV/0!</v>
      </c>
      <c r="BG31" s="10">
        <f>LOOKUP(BC31,$A$47:$A$61,$B$47:$B$61)</f>
        <v>0</v>
      </c>
      <c r="BH31" s="10"/>
      <c r="BI31" s="10"/>
      <c r="BJ31" s="10" t="e">
        <f>BD31*BG31</f>
        <v>#DIV/0!</v>
      </c>
      <c r="BK31" s="10"/>
      <c r="BL31" s="3"/>
      <c r="BM31" s="3"/>
      <c r="BN31" s="3"/>
      <c r="BO31" s="3"/>
      <c r="BP31" s="10"/>
      <c r="BQ31" s="3"/>
      <c r="BR31" s="4" t="s">
        <v>118</v>
      </c>
      <c r="BS31" s="20" t="s">
        <v>71</v>
      </c>
    </row>
    <row r="32" spans="1:71" ht="20.399999999999999" customHeight="1" x14ac:dyDescent="0.3">
      <c r="A32" s="4" t="s">
        <v>149</v>
      </c>
      <c r="B32" s="10">
        <v>7</v>
      </c>
      <c r="C32" s="10">
        <v>7</v>
      </c>
      <c r="D32" s="10">
        <v>7</v>
      </c>
      <c r="E32" s="10">
        <v>6</v>
      </c>
      <c r="F32" s="10">
        <v>3</v>
      </c>
      <c r="G32" s="10">
        <v>4</v>
      </c>
      <c r="H32" s="10">
        <v>8</v>
      </c>
      <c r="I32" s="10">
        <v>8</v>
      </c>
      <c r="J32" s="10">
        <v>6</v>
      </c>
      <c r="K32" s="10">
        <v>6</v>
      </c>
      <c r="L32" s="10">
        <f>(C32+E32+F32+G32)/4</f>
        <v>5</v>
      </c>
      <c r="M32" s="10">
        <f>(B32+H32)/2</f>
        <v>7.5</v>
      </c>
      <c r="N32" s="10">
        <f>(D32+I32+J32+K32)/4</f>
        <v>6.75</v>
      </c>
      <c r="O32" s="10">
        <f>(D32+G32)/2</f>
        <v>5.5</v>
      </c>
      <c r="P32" s="10">
        <f>ROUND((1/3)*(C32+D32+F32),1)</f>
        <v>5.7</v>
      </c>
      <c r="Q32" s="10">
        <f>ROUND((1/4)*(E32+H32+J32+K32),1)</f>
        <v>6.5</v>
      </c>
      <c r="R32" s="10">
        <f>S32-10*MIN(P32,Q32,B32)</f>
        <v>0.10000000000000142</v>
      </c>
      <c r="S32" s="10">
        <f>ROUND(0.5*(10/3)*(L32+M32+N32)+(1-0.5)*10*MIN(L32,M32,N32,O32),1)</f>
        <v>57.1</v>
      </c>
      <c r="T32" s="10">
        <f>ROUND((10/3)*(L32+M32+N32) - 10*MIN(L32,M32,N32,O32),0)</f>
        <v>14</v>
      </c>
      <c r="U32" s="10">
        <v>7</v>
      </c>
      <c r="V32" s="10">
        <v>7</v>
      </c>
      <c r="W32" s="10">
        <v>7</v>
      </c>
      <c r="X32" s="10">
        <v>6</v>
      </c>
      <c r="Y32" s="10">
        <v>3</v>
      </c>
      <c r="Z32" s="10">
        <v>4</v>
      </c>
      <c r="AA32" s="10">
        <v>8</v>
      </c>
      <c r="AB32" s="10">
        <v>8</v>
      </c>
      <c r="AC32" s="10">
        <v>6</v>
      </c>
      <c r="AD32" s="10">
        <v>6</v>
      </c>
      <c r="AE32" s="10">
        <f>(V32+X32+Y32+Z32)/4</f>
        <v>5</v>
      </c>
      <c r="AF32" s="10">
        <f>(U32+AA32)/2</f>
        <v>7.5</v>
      </c>
      <c r="AG32" s="10">
        <f>(W32+AB32+AC32+AD32)/4</f>
        <v>6.75</v>
      </c>
      <c r="AH32" s="10">
        <f>(W32+Z32)/2</f>
        <v>5.5</v>
      </c>
      <c r="AI32" s="10">
        <f>ROUND((V32+W32+Y32)/3,1)</f>
        <v>5.7</v>
      </c>
      <c r="AJ32" s="10">
        <f>ROUND((X32+AA32+AC32+AD32)/4,1)</f>
        <v>6.5</v>
      </c>
      <c r="AK32" s="10">
        <f>AL32-10*MIN(AI32,AJ32,AF32)</f>
        <v>0.10000000000000142</v>
      </c>
      <c r="AL32" s="10">
        <f>ROUND(0.5*(10/3)*(AE32+AF32+AG32)+(1-0.5)*10*MIN(AE32,AF32,AG32,AH32),1)</f>
        <v>57.1</v>
      </c>
      <c r="AM32" s="10">
        <f>ROUND((10/3)*(AE32+AF32+AG32)-10*MIN(AE32,AF32,AG32,AH32),0)</f>
        <v>14</v>
      </c>
      <c r="AN32" s="10" t="s">
        <v>71</v>
      </c>
      <c r="AO32" s="10">
        <f>(V32+X32+Y32+Z32+C32+E32+F32+G32)/8</f>
        <v>5</v>
      </c>
      <c r="AP32" s="10">
        <f>(B32+H32+U32+AA32)/4</f>
        <v>7.5</v>
      </c>
      <c r="AQ32" s="10">
        <f>(W32+AB32+AC32+AD32+D32+I32+J32+K32)/8</f>
        <v>6.75</v>
      </c>
      <c r="AR32" s="10">
        <f>(D32+W32+G32+Z32)/4</f>
        <v>5.5</v>
      </c>
      <c r="AS32" s="10">
        <f>ROUND(0.5*(10/3)*(AO32+AP32+AQ32)+(1-0.5)*10*MIN(AO32,AP32,AQ32,AR32),1)</f>
        <v>57.1</v>
      </c>
      <c r="AT32" s="10">
        <f>ROUND((10/3)*(AO32+AP32+AQ32)-10*MIN(AO32,AP32,AQ32,AR32),0)</f>
        <v>14</v>
      </c>
      <c r="AU32" s="10"/>
      <c r="AV32" s="10"/>
      <c r="AW32" s="10"/>
      <c r="AX32" s="10"/>
      <c r="AY32" s="10"/>
      <c r="AZ32" s="10"/>
      <c r="BA32" s="10" t="s">
        <v>216</v>
      </c>
      <c r="BB32" s="10"/>
      <c r="BC32" s="10">
        <f>BB32-AY32</f>
        <v>0</v>
      </c>
      <c r="BD32" s="10" t="e">
        <f>ROUND(AV32/BC32,1)</f>
        <v>#DIV/0!</v>
      </c>
      <c r="BE32" s="10" t="e">
        <f>ROUND(100*AW32/AV32,1)</f>
        <v>#DIV/0!</v>
      </c>
      <c r="BF32" s="8" t="e">
        <f>ROUND(100*AX32/AV32,1)</f>
        <v>#DIV/0!</v>
      </c>
      <c r="BG32" s="10">
        <f>LOOKUP(BC32,$A$47:$A$61,$B$47:$B$61)</f>
        <v>0</v>
      </c>
      <c r="BH32" s="10"/>
      <c r="BI32" s="10"/>
      <c r="BJ32" s="10" t="e">
        <f>BD32*BG32</f>
        <v>#DIV/0!</v>
      </c>
      <c r="BK32" s="10"/>
      <c r="BL32" s="3"/>
      <c r="BM32" s="3"/>
      <c r="BN32" s="3"/>
      <c r="BO32" s="3"/>
      <c r="BP32" s="10"/>
      <c r="BQ32" s="3"/>
      <c r="BR32" s="4" t="s">
        <v>379</v>
      </c>
      <c r="BS32" s="20" t="s">
        <v>71</v>
      </c>
    </row>
    <row r="33" spans="1:71" ht="23.4" customHeight="1" x14ac:dyDescent="0.3">
      <c r="A33" s="4" t="s">
        <v>4</v>
      </c>
      <c r="B33" s="10">
        <v>8</v>
      </c>
      <c r="C33" s="10">
        <v>8</v>
      </c>
      <c r="D33" s="10">
        <v>6</v>
      </c>
      <c r="E33" s="10">
        <v>8</v>
      </c>
      <c r="F33" s="10">
        <v>7</v>
      </c>
      <c r="G33" s="10">
        <v>7</v>
      </c>
      <c r="H33" s="10">
        <v>5</v>
      </c>
      <c r="I33" s="10">
        <v>4</v>
      </c>
      <c r="J33" s="10">
        <v>5</v>
      </c>
      <c r="K33" s="10">
        <v>5</v>
      </c>
      <c r="L33" s="10">
        <f>(C33+E33+F33+G33)/4</f>
        <v>7.5</v>
      </c>
      <c r="M33" s="10">
        <f>(B33+H33)/2</f>
        <v>6.5</v>
      </c>
      <c r="N33" s="10">
        <f>(D33+I33+J33+K33)/4</f>
        <v>5</v>
      </c>
      <c r="O33" s="10">
        <f>(D33+G33)/2</f>
        <v>6.5</v>
      </c>
      <c r="P33" s="10">
        <f>ROUND((1/3)*(C33+D33+F33),1)</f>
        <v>7</v>
      </c>
      <c r="Q33" s="10">
        <f>ROUND((1/4)*(E33+H33+J33+K33),1)</f>
        <v>5.8</v>
      </c>
      <c r="R33" s="10">
        <f>S33-10*MIN(P33,Q33,B33)</f>
        <v>-1.2999999999999972</v>
      </c>
      <c r="S33" s="10">
        <f>ROUND(0.5*(10/3)*(L33+M33+N33)+(1-0.5)*10*MIN(L33,M33,N33,O33),1)</f>
        <v>56.7</v>
      </c>
      <c r="T33" s="10">
        <f>ROUND((10/3)*(L33+M33+N33) - 10*MIN(L33,M33,N33,O33),0)</f>
        <v>13</v>
      </c>
      <c r="U33" s="11">
        <v>8</v>
      </c>
      <c r="V33" s="10">
        <v>9</v>
      </c>
      <c r="W33" s="10">
        <v>6</v>
      </c>
      <c r="X33" s="10">
        <v>7</v>
      </c>
      <c r="Y33" s="10">
        <v>7</v>
      </c>
      <c r="Z33" s="10">
        <v>8</v>
      </c>
      <c r="AA33" s="10">
        <v>5</v>
      </c>
      <c r="AB33" s="10">
        <v>4</v>
      </c>
      <c r="AC33" s="10">
        <v>4</v>
      </c>
      <c r="AD33" s="10">
        <v>5</v>
      </c>
      <c r="AE33" s="10">
        <f>(V33+X33+Y33+Z33)/4</f>
        <v>7.75</v>
      </c>
      <c r="AF33" s="10">
        <f>(U33+AA33)/2</f>
        <v>6.5</v>
      </c>
      <c r="AG33" s="10">
        <f>(W33+AB33+AC33+AD33)/4</f>
        <v>4.75</v>
      </c>
      <c r="AH33" s="10">
        <f>(W33+Z33)/2</f>
        <v>7</v>
      </c>
      <c r="AI33" s="10">
        <f>ROUND((V33+W33+Y33)/3,1)</f>
        <v>7.3</v>
      </c>
      <c r="AJ33" s="10">
        <f>ROUND((X33+AA33+AC33+AD33)/4,1)</f>
        <v>5.3</v>
      </c>
      <c r="AK33" s="10">
        <f>AL33-10*MIN(AI33,AJ33,AF33)</f>
        <v>2.3999999999999986</v>
      </c>
      <c r="AL33" s="10">
        <f>ROUND(0.5*(10/3)*(AE33+AF33+AG33)+(1-0.5)*10*MIN(AE33,AF33,AG33,AH33),1)</f>
        <v>55.4</v>
      </c>
      <c r="AM33" s="10">
        <f>ROUND((10/3)*(AE33+AF33+AG33)-10*MIN(AE33,AF33,AG33,AH33),0)</f>
        <v>16</v>
      </c>
      <c r="AN33" s="10" t="s">
        <v>174</v>
      </c>
      <c r="AO33" s="10">
        <f>(V33+X33+Y33+Z33+C33+E33+F33+G33)/8</f>
        <v>7.625</v>
      </c>
      <c r="AP33" s="10">
        <f>(B33+H33+U33+AA33)/4</f>
        <v>6.5</v>
      </c>
      <c r="AQ33" s="10">
        <f>(W33+AB33+AC33+AD33+D33+I33+J33+K33)/8</f>
        <v>4.875</v>
      </c>
      <c r="AR33" s="10">
        <f>(D33+W33+G33+Z33)/4</f>
        <v>6.75</v>
      </c>
      <c r="AS33" s="10">
        <f>ROUND(0.5*(10/3)*(AO33+AP33+AQ33)+(1-0.5)*10*MIN(AO33,AP33,AQ33,AR33),1)</f>
        <v>56</v>
      </c>
      <c r="AT33" s="10">
        <f>ROUND((10/3)*(AO33+AP33+AQ33)-10*MIN(AO33,AP33,AQ33,AR33),0)</f>
        <v>15</v>
      </c>
      <c r="AU33" s="10">
        <v>82</v>
      </c>
      <c r="AV33" s="10">
        <v>34182</v>
      </c>
      <c r="AW33" s="10">
        <v>1059</v>
      </c>
      <c r="AX33" s="10">
        <v>261</v>
      </c>
      <c r="AY33" s="17">
        <v>44153</v>
      </c>
      <c r="AZ33" s="10" t="s">
        <v>198</v>
      </c>
      <c r="BA33" s="10" t="s">
        <v>26</v>
      </c>
      <c r="BB33" s="17">
        <v>46121</v>
      </c>
      <c r="BC33" s="10">
        <f>BB33-AY33</f>
        <v>1968</v>
      </c>
      <c r="BD33" s="10">
        <f>ROUND(AV33/BC33,1)</f>
        <v>17.399999999999999</v>
      </c>
      <c r="BE33" s="10">
        <f>ROUND(100*AW33/AV33,1)</f>
        <v>3.1</v>
      </c>
      <c r="BF33" s="10">
        <f>ROUND(100*AX33/AV33,1)</f>
        <v>0.8</v>
      </c>
      <c r="BG33" s="10">
        <f>LOOKUP(BC33,$A$47:$A$61,$B$47:$B$61)</f>
        <v>0.99</v>
      </c>
      <c r="BH33" s="10">
        <v>62</v>
      </c>
      <c r="BI33" s="10" t="s">
        <v>220</v>
      </c>
      <c r="BJ33" s="10">
        <f>BD33*BG33</f>
        <v>17.225999999999999</v>
      </c>
      <c r="BK33" s="10" t="s">
        <v>231</v>
      </c>
      <c r="BL33" s="3" t="s">
        <v>263</v>
      </c>
      <c r="BM33" s="3" t="s">
        <v>264</v>
      </c>
      <c r="BN33" s="3" t="s">
        <v>265</v>
      </c>
      <c r="BO33" s="3" t="s">
        <v>378</v>
      </c>
      <c r="BP33" s="10" t="s">
        <v>233</v>
      </c>
      <c r="BQ33" s="3" t="s">
        <v>285</v>
      </c>
      <c r="BR33" s="4" t="s">
        <v>95</v>
      </c>
      <c r="BS33" s="19" t="s">
        <v>94</v>
      </c>
    </row>
    <row r="34" spans="1:71" ht="29.4" customHeight="1" x14ac:dyDescent="0.3">
      <c r="A34" s="4" t="s">
        <v>390</v>
      </c>
      <c r="B34" s="10">
        <v>7</v>
      </c>
      <c r="C34" s="10">
        <v>5</v>
      </c>
      <c r="D34" s="10">
        <v>7</v>
      </c>
      <c r="E34" s="10">
        <v>6</v>
      </c>
      <c r="F34" s="10">
        <v>7</v>
      </c>
      <c r="G34" s="10">
        <v>5</v>
      </c>
      <c r="H34" s="10">
        <v>5</v>
      </c>
      <c r="I34" s="10">
        <v>5</v>
      </c>
      <c r="J34" s="10">
        <v>5</v>
      </c>
      <c r="K34" s="10">
        <v>3</v>
      </c>
      <c r="L34" s="10">
        <f>(C34+E34+F34+G34)/4</f>
        <v>5.75</v>
      </c>
      <c r="M34" s="10">
        <f>(B34+H34)/2</f>
        <v>6</v>
      </c>
      <c r="N34" s="10">
        <f>(D34+I34+J34+K34)/4</f>
        <v>5</v>
      </c>
      <c r="O34" s="10">
        <f>(D34+G34)/2</f>
        <v>6</v>
      </c>
      <c r="P34" s="10">
        <f>ROUND((1/3)*(C34+D34+F34),1)</f>
        <v>6.3</v>
      </c>
      <c r="Q34" s="10">
        <f>ROUND((1/4)*(E34+H34+J34+K34),1)</f>
        <v>4.8</v>
      </c>
      <c r="R34" s="10">
        <f>S34-10*MIN(P34,Q34,B34)</f>
        <v>4.8999999999999986</v>
      </c>
      <c r="S34" s="10">
        <f>ROUND(0.5*(10/3)*(L34+M34+N34)+(1-0.5)*10*MIN(L34,M34,N34,O34),1)</f>
        <v>52.9</v>
      </c>
      <c r="T34" s="10">
        <f>ROUND((10/3)*(L34+M34+N34) - 10*MIN(L34,M34,N34,O34),0)</f>
        <v>6</v>
      </c>
      <c r="U34" s="11">
        <v>8</v>
      </c>
      <c r="V34" s="10">
        <v>3</v>
      </c>
      <c r="W34" s="10">
        <v>7</v>
      </c>
      <c r="X34" s="10">
        <v>6</v>
      </c>
      <c r="Y34" s="10">
        <v>6</v>
      </c>
      <c r="Z34" s="10">
        <v>5</v>
      </c>
      <c r="AA34" s="10">
        <v>6</v>
      </c>
      <c r="AB34" s="10">
        <v>6</v>
      </c>
      <c r="AC34" s="10">
        <v>5</v>
      </c>
      <c r="AD34" s="10">
        <v>4</v>
      </c>
      <c r="AE34" s="10">
        <f>(V34+X34+Y34+Z34)/4</f>
        <v>5</v>
      </c>
      <c r="AF34" s="10">
        <f>(U34+AA34)/2</f>
        <v>7</v>
      </c>
      <c r="AG34" s="10">
        <f>(W34+AB34+AC34+AD34)/4</f>
        <v>5.5</v>
      </c>
      <c r="AH34" s="10">
        <f>(W34+Z34)/2</f>
        <v>6</v>
      </c>
      <c r="AI34" s="10">
        <f>ROUND((V34+W34+Y34)/3,1)</f>
        <v>5.3</v>
      </c>
      <c r="AJ34" s="10">
        <f>ROUND((X34+AA34+AC34+AD34)/4,1)</f>
        <v>5.3</v>
      </c>
      <c r="AK34" s="10">
        <f>AL34-10*MIN(AI34,AJ34,AF34)</f>
        <v>1.2000000000000028</v>
      </c>
      <c r="AL34" s="10">
        <f>ROUND(0.5*(10/3)*(AE34+AF34+AG34)+(1-0.5)*10*MIN(AE34,AF34,AG34,AH34),1)</f>
        <v>54.2</v>
      </c>
      <c r="AM34" s="10">
        <f>ROUND((10/3)*(AE34+AF34+AG34)-10*MIN(AE34,AF34,AG34,AH34),0)</f>
        <v>8</v>
      </c>
      <c r="AN34" s="10" t="s">
        <v>392</v>
      </c>
      <c r="AO34" s="10">
        <f>(V34+X34+Y34+Z34+C34+E34+F34+G34)/8</f>
        <v>5.375</v>
      </c>
      <c r="AP34" s="10">
        <f>(B34+H34+U34+AA34)/4</f>
        <v>6.5</v>
      </c>
      <c r="AQ34" s="10">
        <f>(W34+AB34+AC34+AD34+D34+I34+J34+K34)/8</f>
        <v>5.25</v>
      </c>
      <c r="AR34" s="10">
        <f>(D34+W34+G34+Z34)/4</f>
        <v>6</v>
      </c>
      <c r="AS34" s="10">
        <f>ROUND(0.5*(10/3)*(AO34+AP34+AQ34)+(1-0.5)*10*MIN(AO34,AP34,AQ34,AR34),1)</f>
        <v>54.8</v>
      </c>
      <c r="AT34" s="10">
        <f>ROUND((10/3)*(AO34+AP34+AQ34)-10*MIN(AO34,AP34,AQ34,AR34),0)</f>
        <v>5</v>
      </c>
      <c r="AU34" s="10">
        <v>121</v>
      </c>
      <c r="AV34" s="10">
        <v>8100</v>
      </c>
      <c r="AW34" s="10">
        <v>307</v>
      </c>
      <c r="AX34" s="10">
        <v>296</v>
      </c>
      <c r="AY34" s="17">
        <v>46061</v>
      </c>
      <c r="AZ34" s="10" t="s">
        <v>200</v>
      </c>
      <c r="BA34" s="10" t="s">
        <v>25</v>
      </c>
      <c r="BB34" s="17">
        <v>46121</v>
      </c>
      <c r="BC34" s="10">
        <f>BB34-AY34</f>
        <v>60</v>
      </c>
      <c r="BD34" s="10">
        <f>ROUND(AV34/BC34,1)</f>
        <v>135</v>
      </c>
      <c r="BE34" s="10">
        <f>ROUND(100*AW34/AV34,1)</f>
        <v>3.8</v>
      </c>
      <c r="BF34" s="10">
        <f>ROUND(100*AX34/AV34,1)</f>
        <v>3.7</v>
      </c>
      <c r="BG34" s="10">
        <f>LOOKUP(BC34,$A$47:$A$61,$B$47:$B$61)</f>
        <v>0.4</v>
      </c>
      <c r="BH34" s="10">
        <v>76</v>
      </c>
      <c r="BI34" s="10" t="s">
        <v>391</v>
      </c>
      <c r="BJ34" s="10">
        <f>BD34*BG34</f>
        <v>54</v>
      </c>
      <c r="BK34" s="10" t="s">
        <v>134</v>
      </c>
      <c r="BL34" s="3" t="s">
        <v>329</v>
      </c>
      <c r="BM34" s="3" t="s">
        <v>235</v>
      </c>
      <c r="BN34" s="3" t="s">
        <v>241</v>
      </c>
      <c r="BO34" s="3" t="s">
        <v>242</v>
      </c>
      <c r="BP34" s="10" t="s">
        <v>222</v>
      </c>
      <c r="BQ34" s="3" t="s">
        <v>274</v>
      </c>
      <c r="BR34" s="4" t="s">
        <v>78</v>
      </c>
      <c r="BS34" s="19" t="s">
        <v>77</v>
      </c>
    </row>
    <row r="35" spans="1:71" ht="30" customHeight="1" x14ac:dyDescent="0.3">
      <c r="A35" s="4" t="s">
        <v>33</v>
      </c>
      <c r="B35" s="10">
        <v>6</v>
      </c>
      <c r="C35" s="10">
        <v>7</v>
      </c>
      <c r="D35" s="10">
        <v>7</v>
      </c>
      <c r="E35" s="10">
        <v>6</v>
      </c>
      <c r="F35" s="10">
        <v>3</v>
      </c>
      <c r="G35" s="10">
        <v>9</v>
      </c>
      <c r="H35" s="10">
        <v>2</v>
      </c>
      <c r="I35" s="10">
        <v>4</v>
      </c>
      <c r="J35" s="10">
        <v>6</v>
      </c>
      <c r="K35" s="10">
        <v>5</v>
      </c>
      <c r="L35" s="10">
        <f>(C35+E35+F35+G35)/4</f>
        <v>6.25</v>
      </c>
      <c r="M35" s="10">
        <f>(B35+H35)/2</f>
        <v>4</v>
      </c>
      <c r="N35" s="10">
        <f>(D35+I35+J35+K35)/4</f>
        <v>5.5</v>
      </c>
      <c r="O35" s="10">
        <f>(D35+G35)/2</f>
        <v>8</v>
      </c>
      <c r="P35" s="10">
        <f>ROUND((1/3)*(C35+D35+F35),1)</f>
        <v>5.7</v>
      </c>
      <c r="Q35" s="10">
        <f>ROUND((1/4)*(E35+H35+J35+K35),1)</f>
        <v>4.8</v>
      </c>
      <c r="R35" s="10">
        <f>S35-10*MIN(P35,Q35,B35)</f>
        <v>-1.7000000000000028</v>
      </c>
      <c r="S35" s="10">
        <f>ROUND(0.5*(10/3)*(L35+M35+N35)+(1-0.5)*10*MIN(L35,M35,N35,O35),1)</f>
        <v>46.3</v>
      </c>
      <c r="T35" s="10">
        <f>ROUND((10/3)*(L35+M35+N35) - 10*MIN(L35,M35,N35,O35),0)</f>
        <v>13</v>
      </c>
      <c r="U35" s="11">
        <v>4</v>
      </c>
      <c r="V35" s="10">
        <v>6</v>
      </c>
      <c r="W35" s="10">
        <v>4</v>
      </c>
      <c r="X35" s="10">
        <v>8</v>
      </c>
      <c r="Y35" s="10">
        <v>7</v>
      </c>
      <c r="Z35" s="10">
        <v>6</v>
      </c>
      <c r="AA35" s="10">
        <v>8</v>
      </c>
      <c r="AB35" s="10">
        <v>4</v>
      </c>
      <c r="AC35" s="10">
        <v>6</v>
      </c>
      <c r="AD35" s="10">
        <v>7</v>
      </c>
      <c r="AE35" s="10">
        <f>(V35+X35+Y35+Z35)/4</f>
        <v>6.75</v>
      </c>
      <c r="AF35" s="10">
        <f>(U35+AA35)/2</f>
        <v>6</v>
      </c>
      <c r="AG35" s="10">
        <f>(W35+AB35+AC35+AD35)/4</f>
        <v>5.25</v>
      </c>
      <c r="AH35" s="10">
        <f>(W35+Z35)/2</f>
        <v>5</v>
      </c>
      <c r="AI35" s="10">
        <f>ROUND((V35+W35+Y35)/3,1)</f>
        <v>5.7</v>
      </c>
      <c r="AJ35" s="10">
        <f>ROUND((X35+AA35+AC35+AD35)/4,1)</f>
        <v>7.3</v>
      </c>
      <c r="AK35" s="10">
        <f>AL35-10*MIN(AI35,AJ35,AF35)</f>
        <v>-2</v>
      </c>
      <c r="AL35" s="10">
        <f>ROUND(0.5*(10/3)*(AE35+AF35+AG35)+(1-0.5)*10*MIN(AE35,AF35,AG35,AH35),1)</f>
        <v>55</v>
      </c>
      <c r="AM35" s="10">
        <f>ROUND((10/3)*(AE35+AF35+AG35)-10*MIN(AE35,AF35,AG35,AH35),0)</f>
        <v>10</v>
      </c>
      <c r="AN35" s="10" t="s">
        <v>71</v>
      </c>
      <c r="AO35" s="10">
        <f>(V35+X35+Y35+Z35+C35+E35+F35+G35)/8</f>
        <v>6.5</v>
      </c>
      <c r="AP35" s="10">
        <f>(B35+H35+U35+AA35)/4</f>
        <v>5</v>
      </c>
      <c r="AQ35" s="10">
        <f>(W35+AB35+AC35+AD35+D35+I35+J35+K35)/8</f>
        <v>5.375</v>
      </c>
      <c r="AR35" s="10">
        <f>(D35+W35+G35+Z35)/4</f>
        <v>6.5</v>
      </c>
      <c r="AS35" s="10">
        <f>ROUND(0.5*(10/3)*(AO35+AP35+AQ35)+(1-0.5)*10*MIN(AO35,AP35,AQ35,AR35),1)</f>
        <v>53.1</v>
      </c>
      <c r="AT35" s="10">
        <f>ROUND((10/3)*(AO35+AP35+AQ35)-10*MIN(AO35,AP35,AQ35,AR35),0)</f>
        <v>6</v>
      </c>
      <c r="AU35" s="10"/>
      <c r="AV35" s="10"/>
      <c r="AW35" s="10"/>
      <c r="AX35" s="10"/>
      <c r="AY35" s="10"/>
      <c r="AZ35" s="10"/>
      <c r="BA35" s="10" t="s">
        <v>216</v>
      </c>
      <c r="BB35" s="10"/>
      <c r="BC35" s="10">
        <f>BB35-AY35</f>
        <v>0</v>
      </c>
      <c r="BD35" s="10" t="e">
        <f>ROUND(AV35/BC35,1)</f>
        <v>#DIV/0!</v>
      </c>
      <c r="BE35" s="10" t="e">
        <f>ROUND(100*AW35/AV35,1)</f>
        <v>#DIV/0!</v>
      </c>
      <c r="BF35" s="8" t="e">
        <f>ROUND(100*AX35/AV35,1)</f>
        <v>#DIV/0!</v>
      </c>
      <c r="BG35" s="10">
        <f>LOOKUP(BC35,$A$47:$A$61,$B$47:$B$61)</f>
        <v>0</v>
      </c>
      <c r="BH35" s="10"/>
      <c r="BI35" s="10"/>
      <c r="BJ35" s="10" t="e">
        <f>BD35*BG35</f>
        <v>#DIV/0!</v>
      </c>
      <c r="BK35" s="10"/>
      <c r="BL35" s="3"/>
      <c r="BM35" s="3"/>
      <c r="BN35" s="3"/>
      <c r="BO35" s="3"/>
      <c r="BP35" s="10"/>
      <c r="BQ35" s="3"/>
      <c r="BR35" s="4" t="s">
        <v>122</v>
      </c>
      <c r="BS35" s="20" t="s">
        <v>71</v>
      </c>
    </row>
    <row r="36" spans="1:71" ht="40.799999999999997" customHeight="1" x14ac:dyDescent="0.3">
      <c r="A36" s="4" t="s">
        <v>6</v>
      </c>
      <c r="B36" s="10">
        <v>8</v>
      </c>
      <c r="C36" s="10">
        <v>6</v>
      </c>
      <c r="D36" s="10">
        <v>6</v>
      </c>
      <c r="E36" s="10">
        <v>7.5</v>
      </c>
      <c r="F36" s="10">
        <v>9</v>
      </c>
      <c r="G36" s="10">
        <v>7</v>
      </c>
      <c r="H36" s="10">
        <v>3</v>
      </c>
      <c r="I36" s="10">
        <v>4</v>
      </c>
      <c r="J36" s="10">
        <v>8</v>
      </c>
      <c r="K36" s="10">
        <v>5</v>
      </c>
      <c r="L36" s="10">
        <f>(C36+E36+F36+G36)/4</f>
        <v>7.375</v>
      </c>
      <c r="M36" s="10">
        <f>(B36+H36)/2</f>
        <v>5.5</v>
      </c>
      <c r="N36" s="10">
        <f>(D36+I36+J36+K36)/4</f>
        <v>5.75</v>
      </c>
      <c r="O36" s="10">
        <f>(D36+G36)/2</f>
        <v>6.5</v>
      </c>
      <c r="P36" s="10">
        <f>ROUND((1/3)*(C36+D36+F36),1)</f>
        <v>7</v>
      </c>
      <c r="Q36" s="10">
        <f>ROUND((1/4)*(E36+H36+J36+K36),1)</f>
        <v>5.9</v>
      </c>
      <c r="R36" s="10">
        <f>S36-10*MIN(P36,Q36,B36)</f>
        <v>-0.5</v>
      </c>
      <c r="S36" s="10">
        <f>ROUND(0.5*(10/3)*(L36+M36+N36)+(1-0.5)*10*MIN(L36,M36,N36,O36),1)</f>
        <v>58.5</v>
      </c>
      <c r="T36" s="10">
        <f>ROUND((10/3)*(L36+M36+N36) - 10*MIN(L36,M36,N36,O36),0)</f>
        <v>7</v>
      </c>
      <c r="U36" s="11">
        <v>4</v>
      </c>
      <c r="V36" s="10">
        <v>5</v>
      </c>
      <c r="W36" s="10">
        <v>5</v>
      </c>
      <c r="X36" s="10">
        <v>7.5</v>
      </c>
      <c r="Y36" s="10">
        <v>6</v>
      </c>
      <c r="Z36" s="10">
        <v>7</v>
      </c>
      <c r="AA36" s="10">
        <v>4</v>
      </c>
      <c r="AB36" s="10">
        <v>4</v>
      </c>
      <c r="AC36" s="10">
        <v>7</v>
      </c>
      <c r="AD36" s="10">
        <v>5</v>
      </c>
      <c r="AE36" s="10">
        <f>(V36+X36+Y36+Z36)/4</f>
        <v>6.375</v>
      </c>
      <c r="AF36" s="10">
        <f>(U36+AA36)/2</f>
        <v>4</v>
      </c>
      <c r="AG36" s="10">
        <f>(W36+AB36+AC36+AD36)/4</f>
        <v>5.25</v>
      </c>
      <c r="AH36" s="10">
        <f>(W36+Z36)/2</f>
        <v>6</v>
      </c>
      <c r="AI36" s="10">
        <f>ROUND((V36+W36+Y36)/3,1)</f>
        <v>5.3</v>
      </c>
      <c r="AJ36" s="10">
        <f>ROUND((X36+AA36+AC36+AD36)/4,1)</f>
        <v>5.9</v>
      </c>
      <c r="AK36" s="10">
        <f>AL36-10*MIN(AI36,AJ36,AF36)</f>
        <v>6</v>
      </c>
      <c r="AL36" s="10">
        <f>ROUND(0.5*(10/3)*(AE36+AF36+AG36)+(1-0.5)*10*MIN(AE36,AF36,AG36,AH36),1)</f>
        <v>46</v>
      </c>
      <c r="AM36" s="10">
        <f>ROUND((10/3)*(AE36+AF36+AG36)-10*MIN(AE36,AF36,AG36,AH36),0)</f>
        <v>12</v>
      </c>
      <c r="AN36" s="10" t="s">
        <v>174</v>
      </c>
      <c r="AO36" s="10">
        <f>(V36+X36+Y36+Z36+C36+E36+F36+G36)/8</f>
        <v>6.875</v>
      </c>
      <c r="AP36" s="10">
        <f>(B36+H36+U36+AA36)/4</f>
        <v>4.75</v>
      </c>
      <c r="AQ36" s="10">
        <f>(W36+AB36+AC36+AD36+D36+I36+J36+K36)/8</f>
        <v>5.5</v>
      </c>
      <c r="AR36" s="10">
        <f>(D36+W36+G36+Z36)/4</f>
        <v>6.25</v>
      </c>
      <c r="AS36" s="10">
        <f>ROUND(0.5*(10/3)*(AO36+AP36+AQ36)+(1-0.5)*10*MIN(AO36,AP36,AQ36,AR36),1)</f>
        <v>52.3</v>
      </c>
      <c r="AT36" s="10">
        <f>ROUND((10/3)*(AO36+AP36+AQ36)-10*MIN(AO36,AP36,AQ36,AR36),0)</f>
        <v>10</v>
      </c>
      <c r="AU36" s="10">
        <v>88</v>
      </c>
      <c r="AV36" s="10">
        <v>5269</v>
      </c>
      <c r="AW36" s="10">
        <v>160</v>
      </c>
      <c r="AX36" s="10">
        <v>111</v>
      </c>
      <c r="AY36" s="17">
        <v>45771</v>
      </c>
      <c r="AZ36" s="10" t="s">
        <v>200</v>
      </c>
      <c r="BA36" s="10" t="s">
        <v>25</v>
      </c>
      <c r="BB36" s="17">
        <v>46121</v>
      </c>
      <c r="BC36" s="10">
        <f>BB36-AY36</f>
        <v>350</v>
      </c>
      <c r="BD36" s="10">
        <f>ROUND(AV36/BC36,1)</f>
        <v>15.1</v>
      </c>
      <c r="BE36" s="10">
        <f>ROUND(100*AW36/AV36,1)</f>
        <v>3</v>
      </c>
      <c r="BF36" s="10">
        <f>ROUND(100*AX36/AV36,1)</f>
        <v>2.1</v>
      </c>
      <c r="BG36" s="10">
        <f>LOOKUP(BC36,$A$47:$A$61,$B$47:$B$61)</f>
        <v>0.78</v>
      </c>
      <c r="BH36" s="10">
        <v>74</v>
      </c>
      <c r="BI36" s="10" t="s">
        <v>220</v>
      </c>
      <c r="BJ36" s="10">
        <f>BD36*BG36</f>
        <v>11.778</v>
      </c>
      <c r="BK36" s="10" t="s">
        <v>134</v>
      </c>
      <c r="BL36" s="3" t="s">
        <v>330</v>
      </c>
      <c r="BM36" s="3" t="s">
        <v>235</v>
      </c>
      <c r="BN36" s="3" t="s">
        <v>236</v>
      </c>
      <c r="BO36" s="3" t="s">
        <v>237</v>
      </c>
      <c r="BP36" s="10" t="s">
        <v>222</v>
      </c>
      <c r="BQ36" s="3" t="s">
        <v>272</v>
      </c>
      <c r="BR36" s="4" t="s">
        <v>74</v>
      </c>
      <c r="BS36" s="19" t="s">
        <v>73</v>
      </c>
    </row>
    <row r="37" spans="1:71" ht="42.6" customHeight="1" x14ac:dyDescent="0.3">
      <c r="A37" s="4" t="s">
        <v>1</v>
      </c>
      <c r="B37" s="10">
        <v>10</v>
      </c>
      <c r="C37" s="10">
        <v>6</v>
      </c>
      <c r="D37" s="10">
        <v>7</v>
      </c>
      <c r="E37" s="10">
        <v>6.5</v>
      </c>
      <c r="F37" s="10">
        <v>7</v>
      </c>
      <c r="G37" s="10">
        <v>5</v>
      </c>
      <c r="H37" s="10">
        <v>3</v>
      </c>
      <c r="I37" s="10">
        <v>4</v>
      </c>
      <c r="J37" s="10">
        <v>4</v>
      </c>
      <c r="K37" s="10">
        <v>3</v>
      </c>
      <c r="L37" s="10">
        <f>(C37+E37+F37+G37)/4</f>
        <v>6.125</v>
      </c>
      <c r="M37" s="10">
        <f>(B37+H37)/2</f>
        <v>6.5</v>
      </c>
      <c r="N37" s="10">
        <f>(D37+I37+J37+K37)/4</f>
        <v>4.5</v>
      </c>
      <c r="O37" s="10">
        <f>(D37+G37)/2</f>
        <v>6</v>
      </c>
      <c r="P37" s="10">
        <f>ROUND((1/3)*(C37+D37+F37),1)</f>
        <v>6.7</v>
      </c>
      <c r="Q37" s="10">
        <f>ROUND((1/4)*(E37+H37+J37+K37),1)</f>
        <v>4.0999999999999996</v>
      </c>
      <c r="R37" s="10">
        <f>S37-10*MIN(P37,Q37,B37)</f>
        <v>10</v>
      </c>
      <c r="S37" s="10">
        <f>ROUND(0.5*(10/3)*(L37+M37+N37)+(1-0.5)*10*MIN(L37,M37,N37,O37),1)</f>
        <v>51</v>
      </c>
      <c r="T37" s="10">
        <f>ROUND((10/3)*(L37+M37+N37) - 10*MIN(L37,M37,N37,O37),0)</f>
        <v>12</v>
      </c>
      <c r="U37" s="11">
        <v>9</v>
      </c>
      <c r="V37" s="10">
        <v>6</v>
      </c>
      <c r="W37" s="10">
        <v>6</v>
      </c>
      <c r="X37" s="10">
        <v>6</v>
      </c>
      <c r="Y37" s="10">
        <v>8</v>
      </c>
      <c r="Z37" s="10">
        <v>5</v>
      </c>
      <c r="AA37" s="10">
        <v>3</v>
      </c>
      <c r="AB37" s="10">
        <v>3</v>
      </c>
      <c r="AC37" s="10">
        <v>5</v>
      </c>
      <c r="AD37" s="10">
        <v>3</v>
      </c>
      <c r="AE37" s="10">
        <f>(V37+X37+Y37+Z37)/4</f>
        <v>6.25</v>
      </c>
      <c r="AF37" s="10">
        <f>(U37+AA37)/2</f>
        <v>6</v>
      </c>
      <c r="AG37" s="10">
        <f>(W37+AB37+AC37+AD37)/4</f>
        <v>4.25</v>
      </c>
      <c r="AH37" s="10">
        <f>(W37+Z37)/2</f>
        <v>5.5</v>
      </c>
      <c r="AI37" s="10">
        <f>ROUND((V37+W37+Y37)/3,1)</f>
        <v>6.7</v>
      </c>
      <c r="AJ37" s="10">
        <f>ROUND((X37+AA37+AC37+AD37)/4,1)</f>
        <v>4.3</v>
      </c>
      <c r="AK37" s="10">
        <f>AL37-10*MIN(AI37,AJ37,AF37)</f>
        <v>5.7999999999999972</v>
      </c>
      <c r="AL37" s="10">
        <f>ROUND(0.5*(10/3)*(AE37+AF37+AG37)+(1-0.5)*10*MIN(AE37,AF37,AG37,AH37),1)</f>
        <v>48.8</v>
      </c>
      <c r="AM37" s="10">
        <f>ROUND((10/3)*(AE37+AF37+AG37)-10*MIN(AE37,AF37,AG37,AH37),0)</f>
        <v>13</v>
      </c>
      <c r="AN37" s="10" t="s">
        <v>174</v>
      </c>
      <c r="AO37" s="10">
        <f>(V37+X37+Y37+Z37+C37+E37+F37+G37)/8</f>
        <v>6.1875</v>
      </c>
      <c r="AP37" s="10">
        <f>(B37+H37+U37+AA37)/4</f>
        <v>6.25</v>
      </c>
      <c r="AQ37" s="10">
        <f>(W37+AB37+AC37+AD37+D37+I37+J37+K37)/8</f>
        <v>4.375</v>
      </c>
      <c r="AR37" s="10">
        <f>(D37+W37+G37+Z37)/4</f>
        <v>5.75</v>
      </c>
      <c r="AS37" s="10">
        <f>ROUND(0.5*(10/3)*(AO37+AP37+AQ37)+(1-0.5)*10*MIN(AO37,AP37,AQ37,AR37),1)</f>
        <v>49.9</v>
      </c>
      <c r="AT37" s="10">
        <f>ROUND((10/3)*(AO37+AP37+AQ37)-10*MIN(AO37,AP37,AQ37,AR37),0)</f>
        <v>12</v>
      </c>
      <c r="AU37" s="10">
        <v>12</v>
      </c>
      <c r="AV37" s="10">
        <v>2308</v>
      </c>
      <c r="AW37" s="10">
        <v>227</v>
      </c>
      <c r="AX37" s="10">
        <v>44</v>
      </c>
      <c r="AY37" s="17">
        <v>45672</v>
      </c>
      <c r="AZ37" s="10" t="s">
        <v>198</v>
      </c>
      <c r="BA37" s="10" t="s">
        <v>281</v>
      </c>
      <c r="BB37" s="17">
        <v>46121</v>
      </c>
      <c r="BC37" s="10">
        <f>BB37-AY37</f>
        <v>449</v>
      </c>
      <c r="BD37" s="10">
        <f>ROUND(AV37/BC37,1)</f>
        <v>5.0999999999999996</v>
      </c>
      <c r="BE37" s="10">
        <f>ROUND(100*AW37/AV37,1)</f>
        <v>9.8000000000000007</v>
      </c>
      <c r="BF37" s="10">
        <f>ROUND(100*AX37/AV37,1)</f>
        <v>1.9</v>
      </c>
      <c r="BG37" s="10">
        <f>LOOKUP(BC37,$A$47:$A$61,$B$47:$B$61)</f>
        <v>0.88</v>
      </c>
      <c r="BH37" s="10">
        <v>58</v>
      </c>
      <c r="BI37" s="10" t="s">
        <v>220</v>
      </c>
      <c r="BJ37" s="10">
        <f>BD37*BG37</f>
        <v>4.4879999999999995</v>
      </c>
      <c r="BK37" s="10" t="s">
        <v>134</v>
      </c>
      <c r="BL37" s="3" t="s">
        <v>348</v>
      </c>
      <c r="BM37" s="3" t="s">
        <v>353</v>
      </c>
      <c r="BN37" s="3" t="s">
        <v>266</v>
      </c>
      <c r="BO37" s="3" t="s">
        <v>349</v>
      </c>
      <c r="BP37" s="10" t="s">
        <v>281</v>
      </c>
      <c r="BQ37" s="3" t="s">
        <v>286</v>
      </c>
      <c r="BR37" s="4" t="s">
        <v>63</v>
      </c>
      <c r="BS37" s="19" t="s">
        <v>96</v>
      </c>
    </row>
    <row r="38" spans="1:71" ht="28.2" customHeight="1" x14ac:dyDescent="0.3">
      <c r="A38" s="4" t="s">
        <v>9</v>
      </c>
      <c r="B38" s="10">
        <v>3</v>
      </c>
      <c r="C38" s="10">
        <v>4</v>
      </c>
      <c r="D38" s="10">
        <v>6</v>
      </c>
      <c r="E38" s="10">
        <v>7</v>
      </c>
      <c r="F38" s="10">
        <v>5</v>
      </c>
      <c r="G38" s="10">
        <v>6</v>
      </c>
      <c r="H38" s="10">
        <v>5</v>
      </c>
      <c r="I38" s="10">
        <v>5</v>
      </c>
      <c r="J38" s="10">
        <v>5</v>
      </c>
      <c r="K38" s="10">
        <v>5</v>
      </c>
      <c r="L38" s="10">
        <f>(C38+E38+F38+G38)/4</f>
        <v>5.5</v>
      </c>
      <c r="M38" s="10">
        <f>(B38+H38)/2</f>
        <v>4</v>
      </c>
      <c r="N38" s="10">
        <f>(D38+I38+J38+K38)/4</f>
        <v>5.25</v>
      </c>
      <c r="O38" s="10">
        <f>(D38+G38)/2</f>
        <v>6</v>
      </c>
      <c r="P38" s="10">
        <f>ROUND((1/3)*(C38+D38+F38),1)</f>
        <v>5</v>
      </c>
      <c r="Q38" s="10">
        <f>ROUND((1/4)*(E38+H38+J38+K38),1)</f>
        <v>5.5</v>
      </c>
      <c r="R38" s="10">
        <f>S38-10*MIN(P38,Q38,B38)</f>
        <v>14.600000000000001</v>
      </c>
      <c r="S38" s="10">
        <f>ROUND(0.5*(10/3)*(L38+M38+N38)+(1-0.5)*10*MIN(L38,M38,N38,O38),1)</f>
        <v>44.6</v>
      </c>
      <c r="T38" s="10">
        <f>ROUND((10/3)*(L38+M38+N38) - 10*MIN(L38,M38,N38,O38),0)</f>
        <v>9</v>
      </c>
      <c r="U38" s="11">
        <v>7</v>
      </c>
      <c r="V38" s="10">
        <v>4</v>
      </c>
      <c r="W38" s="10">
        <v>4</v>
      </c>
      <c r="X38" s="10">
        <v>6</v>
      </c>
      <c r="Y38" s="10">
        <v>5</v>
      </c>
      <c r="Z38" s="10">
        <v>5</v>
      </c>
      <c r="AA38" s="10">
        <v>4</v>
      </c>
      <c r="AB38" s="10">
        <v>5</v>
      </c>
      <c r="AC38" s="10">
        <v>5</v>
      </c>
      <c r="AD38" s="10">
        <v>5</v>
      </c>
      <c r="AE38" s="10">
        <f>(V38+X38+Y38+Z38)/4</f>
        <v>5</v>
      </c>
      <c r="AF38" s="10">
        <f>(U38+AA38)/2</f>
        <v>5.5</v>
      </c>
      <c r="AG38" s="10">
        <f>(W38+AB38+AC38+AD38)/4</f>
        <v>4.75</v>
      </c>
      <c r="AH38" s="10">
        <f>(W38+Z38)/2</f>
        <v>4.5</v>
      </c>
      <c r="AI38" s="10">
        <f>ROUND((V38+W38+Y38)/3,1)</f>
        <v>4.3</v>
      </c>
      <c r="AJ38" s="10">
        <f>ROUND((X38+AA38+AC38+AD38)/4,1)</f>
        <v>5</v>
      </c>
      <c r="AK38" s="10">
        <f>AL38-10*MIN(AI38,AJ38,AF38)</f>
        <v>4.8999999999999986</v>
      </c>
      <c r="AL38" s="10">
        <f>ROUND(0.5*(10/3)*(AE38+AF38+AG38)+(1-0.5)*10*MIN(AE38,AF38,AG38,AH38),1)</f>
        <v>47.9</v>
      </c>
      <c r="AM38" s="10">
        <f>ROUND((10/3)*(AE38+AF38+AG38)-10*MIN(AE38,AF38,AG38,AH38),0)</f>
        <v>6</v>
      </c>
      <c r="AN38" s="10" t="s">
        <v>174</v>
      </c>
      <c r="AO38" s="10">
        <f>(V38+X38+Y38+Z38+C38+E38+F38+G38)/8</f>
        <v>5.25</v>
      </c>
      <c r="AP38" s="10">
        <f>(B38+H38+U38+AA38)/4</f>
        <v>4.75</v>
      </c>
      <c r="AQ38" s="10">
        <f>(W38+AB38+AC38+AD38+D38+I38+J38+K38)/8</f>
        <v>5</v>
      </c>
      <c r="AR38" s="10">
        <f>(D38+W38+G38+Z38)/4</f>
        <v>5.25</v>
      </c>
      <c r="AS38" s="10">
        <f>ROUND(0.5*(10/3)*(AO38+AP38+AQ38)+(1-0.5)*10*MIN(AO38,AP38,AQ38,AR38),1)</f>
        <v>48.8</v>
      </c>
      <c r="AT38" s="10">
        <f>ROUND((10/3)*(AO38+AP38+AQ38)-10*MIN(AO38,AP38,AQ38,AR38),0)</f>
        <v>3</v>
      </c>
      <c r="AU38" s="10">
        <v>143</v>
      </c>
      <c r="AV38" s="10">
        <v>42057</v>
      </c>
      <c r="AW38" s="10">
        <v>862</v>
      </c>
      <c r="AX38" s="10">
        <v>231</v>
      </c>
      <c r="AY38" s="17">
        <v>42396</v>
      </c>
      <c r="AZ38" s="10" t="s">
        <v>361</v>
      </c>
      <c r="BA38" s="10" t="s">
        <v>25</v>
      </c>
      <c r="BB38" s="17">
        <v>46121</v>
      </c>
      <c r="BC38" s="10">
        <f>BB38-AY38</f>
        <v>3725</v>
      </c>
      <c r="BD38" s="10">
        <f>ROUND(AV38/BC38,1)</f>
        <v>11.3</v>
      </c>
      <c r="BE38" s="10">
        <f>ROUND(100*AW38/AV38,1)</f>
        <v>2</v>
      </c>
      <c r="BF38" s="10">
        <f>ROUND(100*AX38/AV38,1)</f>
        <v>0.5</v>
      </c>
      <c r="BG38" s="10">
        <f>LOOKUP(BC38,$A$47:$A$61,$B$47:$B$61)</f>
        <v>1</v>
      </c>
      <c r="BH38" s="10">
        <v>65</v>
      </c>
      <c r="BI38" s="10" t="s">
        <v>220</v>
      </c>
      <c r="BJ38" s="10">
        <f>BD38*BG38</f>
        <v>11.3</v>
      </c>
      <c r="BK38" s="10" t="s">
        <v>134</v>
      </c>
      <c r="BL38" s="3" t="s">
        <v>360</v>
      </c>
      <c r="BM38" s="3" t="s">
        <v>250</v>
      </c>
      <c r="BN38" s="3" t="s">
        <v>251</v>
      </c>
      <c r="BO38" s="3" t="s">
        <v>252</v>
      </c>
      <c r="BP38" s="10" t="s">
        <v>222</v>
      </c>
      <c r="BQ38" s="3" t="s">
        <v>279</v>
      </c>
      <c r="BR38" s="4" t="s">
        <v>88</v>
      </c>
      <c r="BS38" s="19" t="s">
        <v>87</v>
      </c>
    </row>
    <row r="39" spans="1:71" ht="30" customHeight="1" x14ac:dyDescent="0.3">
      <c r="A39" s="4" t="s">
        <v>126</v>
      </c>
      <c r="B39" s="10">
        <v>7</v>
      </c>
      <c r="C39" s="10">
        <v>6</v>
      </c>
      <c r="D39" s="10">
        <v>5</v>
      </c>
      <c r="E39" s="10">
        <v>6.5</v>
      </c>
      <c r="F39" s="10">
        <v>6</v>
      </c>
      <c r="G39" s="10">
        <v>5</v>
      </c>
      <c r="H39" s="10">
        <v>3</v>
      </c>
      <c r="I39" s="10">
        <v>4</v>
      </c>
      <c r="J39" s="10">
        <v>4</v>
      </c>
      <c r="K39" s="10">
        <v>3</v>
      </c>
      <c r="L39" s="10">
        <f>(C39+E39+F39+G39)/4</f>
        <v>5.875</v>
      </c>
      <c r="M39" s="10">
        <f>(B39+H39)/2</f>
        <v>5</v>
      </c>
      <c r="N39" s="10">
        <f>(D39+I39+J39+K39)/4</f>
        <v>4</v>
      </c>
      <c r="O39" s="10">
        <f>(D39+G39)/2</f>
        <v>5</v>
      </c>
      <c r="P39" s="10">
        <f>ROUND((1/3)*(C39+D39+F39),1)</f>
        <v>5.7</v>
      </c>
      <c r="Q39" s="10">
        <f>ROUND((1/4)*(E39+H39+J39+K39),1)</f>
        <v>4.0999999999999996</v>
      </c>
      <c r="R39" s="10">
        <f>S39-10*MIN(P39,Q39,B39)</f>
        <v>3.7999999999999972</v>
      </c>
      <c r="S39" s="10">
        <f>ROUND(0.5*(10/3)*(L39+M39+N39)+(1-0.5)*10*MIN(L39,M39,N39,O39),1)</f>
        <v>44.8</v>
      </c>
      <c r="T39" s="10">
        <f>ROUND((10/3)*(L39+M39+N39) - 10*MIN(L39,M39,N39,O39),0)</f>
        <v>10</v>
      </c>
      <c r="U39" s="11">
        <v>7</v>
      </c>
      <c r="V39" s="10">
        <v>6</v>
      </c>
      <c r="W39" s="10">
        <v>6</v>
      </c>
      <c r="X39" s="10">
        <v>6</v>
      </c>
      <c r="Y39" s="10">
        <v>6</v>
      </c>
      <c r="Z39" s="10">
        <v>5</v>
      </c>
      <c r="AA39" s="10">
        <v>3</v>
      </c>
      <c r="AB39" s="10">
        <v>4</v>
      </c>
      <c r="AC39" s="10">
        <v>4</v>
      </c>
      <c r="AD39" s="10">
        <v>3</v>
      </c>
      <c r="AE39" s="10">
        <f>(V39+X39+Y39+Z39)/4</f>
        <v>5.75</v>
      </c>
      <c r="AF39" s="10">
        <f>(U39+AA39)/2</f>
        <v>5</v>
      </c>
      <c r="AG39" s="10">
        <f>(W39+AB39+AC39+AD39)/4</f>
        <v>4.25</v>
      </c>
      <c r="AH39" s="10">
        <f>(W39+Z39)/2</f>
        <v>5.5</v>
      </c>
      <c r="AI39" s="10">
        <f>ROUND((V39+W39+Y39)/3,1)</f>
        <v>6</v>
      </c>
      <c r="AJ39" s="10">
        <f>ROUND((X39+AA39+AC39+AD39)/4,1)</f>
        <v>4</v>
      </c>
      <c r="AK39" s="10">
        <f>AL39-10*MIN(AI39,AJ39,AF39)</f>
        <v>6.2999999999999972</v>
      </c>
      <c r="AL39" s="10">
        <f>ROUND(0.5*(10/3)*(AE39+AF39+AG39)+(1-0.5)*10*MIN(AE39,AF39,AG39,AH39),1)</f>
        <v>46.3</v>
      </c>
      <c r="AM39" s="10">
        <f>ROUND((10/3)*(AE39+AF39+AG39)-10*MIN(AE39,AF39,AG39,AH39),0)</f>
        <v>8</v>
      </c>
      <c r="AN39" s="10" t="s">
        <v>174</v>
      </c>
      <c r="AO39" s="10">
        <f>(V39+X39+Y39+Z39+C39+E39+F39+G39)/8</f>
        <v>5.8125</v>
      </c>
      <c r="AP39" s="10">
        <f>(B39+H39+U39+AA39)/4</f>
        <v>5</v>
      </c>
      <c r="AQ39" s="10">
        <f>(W39+AB39+AC39+AD39+D39+I39+J39+K39)/8</f>
        <v>4.125</v>
      </c>
      <c r="AR39" s="10">
        <f>(D39+W39+G39+Z39)/4</f>
        <v>5.25</v>
      </c>
      <c r="AS39" s="10">
        <f>ROUND(0.5*(10/3)*(AO39+AP39+AQ39)+(1-0.5)*10*MIN(AO39,AP39,AQ39,AR39),1)</f>
        <v>45.5</v>
      </c>
      <c r="AT39" s="10">
        <f>ROUND((10/3)*(AO39+AP39+AQ39)-10*MIN(AO39,AP39,AQ39,AR39),0)</f>
        <v>9</v>
      </c>
      <c r="AU39" s="10">
        <v>24</v>
      </c>
      <c r="AV39" s="10">
        <v>9350</v>
      </c>
      <c r="AW39" s="10">
        <v>437</v>
      </c>
      <c r="AX39" s="10">
        <v>99</v>
      </c>
      <c r="AY39" s="17">
        <v>43887</v>
      </c>
      <c r="AZ39" s="10" t="s">
        <v>198</v>
      </c>
      <c r="BA39" s="10" t="s">
        <v>281</v>
      </c>
      <c r="BB39" s="17">
        <v>46121</v>
      </c>
      <c r="BC39" s="10">
        <f>BB39-AY39</f>
        <v>2234</v>
      </c>
      <c r="BD39" s="10">
        <f>ROUND(AV39/BC39,1)</f>
        <v>4.2</v>
      </c>
      <c r="BE39" s="10">
        <f>ROUND(100*AW39/AV39,1)</f>
        <v>4.7</v>
      </c>
      <c r="BF39" s="10">
        <f>ROUND(100*AX39/AV39,1)</f>
        <v>1.1000000000000001</v>
      </c>
      <c r="BG39" s="10">
        <f>LOOKUP(BC39,$A$47:$A$61,$B$47:$B$61)</f>
        <v>1</v>
      </c>
      <c r="BH39" s="10">
        <v>71</v>
      </c>
      <c r="BI39" s="10" t="s">
        <v>220</v>
      </c>
      <c r="BJ39" s="10">
        <f>BD39*BG39</f>
        <v>4.2</v>
      </c>
      <c r="BK39" s="10" t="s">
        <v>134</v>
      </c>
      <c r="BL39" s="3" t="s">
        <v>350</v>
      </c>
      <c r="BM39" s="3" t="s">
        <v>293</v>
      </c>
      <c r="BN39" s="3" t="s">
        <v>351</v>
      </c>
      <c r="BO39" s="3" t="s">
        <v>352</v>
      </c>
      <c r="BP39" s="10" t="s">
        <v>281</v>
      </c>
      <c r="BQ39" s="3" t="s">
        <v>300</v>
      </c>
      <c r="BR39" s="4" t="s">
        <v>106</v>
      </c>
      <c r="BS39" s="19" t="s">
        <v>105</v>
      </c>
    </row>
    <row r="40" spans="1:71" ht="27.6" customHeight="1" x14ac:dyDescent="0.3">
      <c r="A40" s="4" t="s">
        <v>11</v>
      </c>
      <c r="B40" s="10">
        <v>0</v>
      </c>
      <c r="C40" s="10">
        <v>6</v>
      </c>
      <c r="D40" s="10">
        <v>3</v>
      </c>
      <c r="E40" s="10">
        <v>8</v>
      </c>
      <c r="F40" s="10">
        <v>7</v>
      </c>
      <c r="G40" s="10">
        <v>7</v>
      </c>
      <c r="H40" s="10">
        <v>5</v>
      </c>
      <c r="I40" s="10">
        <v>7</v>
      </c>
      <c r="J40" s="10">
        <v>7</v>
      </c>
      <c r="K40" s="10">
        <v>8</v>
      </c>
      <c r="L40" s="10">
        <f>(C40+E40+F40+G40)/4</f>
        <v>7</v>
      </c>
      <c r="M40" s="10">
        <f>(B40+H40)/2</f>
        <v>2.5</v>
      </c>
      <c r="N40" s="10">
        <f>(D40+I40+J40+K40)/4</f>
        <v>6.25</v>
      </c>
      <c r="O40" s="10">
        <f>(D40+G40)/2</f>
        <v>5</v>
      </c>
      <c r="P40" s="10">
        <f>ROUND((1/3)*(C40+D40+F40),1)</f>
        <v>5.3</v>
      </c>
      <c r="Q40" s="10">
        <f>ROUND((1/4)*(E40+H40+J40+K40),1)</f>
        <v>7</v>
      </c>
      <c r="R40" s="10">
        <f>S40-10*MIN(P40,Q40,B40)</f>
        <v>38.799999999999997</v>
      </c>
      <c r="S40" s="10">
        <f>ROUND(0.5*(10/3)*(L40+M40+N40)+(1-0.5)*10*MIN(L40,M40,N40,O40),1)</f>
        <v>38.799999999999997</v>
      </c>
      <c r="T40" s="10">
        <f>ROUND((10/3)*(L40+M40+N40) - 10*MIN(L40,M40,N40,O40),0)</f>
        <v>28</v>
      </c>
      <c r="U40" s="11">
        <v>2</v>
      </c>
      <c r="V40" s="10">
        <v>6</v>
      </c>
      <c r="W40" s="10">
        <v>0</v>
      </c>
      <c r="X40" s="10">
        <v>7</v>
      </c>
      <c r="Y40" s="10">
        <v>7</v>
      </c>
      <c r="Z40" s="10">
        <v>5</v>
      </c>
      <c r="AA40" s="10">
        <v>8</v>
      </c>
      <c r="AB40" s="10">
        <v>6</v>
      </c>
      <c r="AC40" s="10">
        <v>6</v>
      </c>
      <c r="AD40" s="10">
        <v>8</v>
      </c>
      <c r="AE40" s="10">
        <f>(V40+X40+Y40+Z40)/4</f>
        <v>6.25</v>
      </c>
      <c r="AF40" s="10">
        <f>(U40+AA40)/2</f>
        <v>5</v>
      </c>
      <c r="AG40" s="10">
        <f>(W40+AB40+AC40+AD40)/4</f>
        <v>5</v>
      </c>
      <c r="AH40" s="10">
        <f>(W40+Z40)/2</f>
        <v>2.5</v>
      </c>
      <c r="AI40" s="10">
        <f>ROUND((V40+W40+Y40)/3,1)</f>
        <v>4.3</v>
      </c>
      <c r="AJ40" s="10">
        <f>ROUND((X40+AA40+AC40+AD40)/4,1)</f>
        <v>7.3</v>
      </c>
      <c r="AK40" s="10">
        <f>AL40-10*MIN(AI40,AJ40,AF40)</f>
        <v>-3.3999999999999986</v>
      </c>
      <c r="AL40" s="10">
        <f>ROUND(0.5*(10/3)*(AE40+AF40+AG40)+(1-0.5)*10*MIN(AE40,AF40,AG40,AH40),1)</f>
        <v>39.6</v>
      </c>
      <c r="AM40" s="10">
        <f>ROUND((10/3)*(AE40+AF40+AG40)-10*MIN(AE40,AF40,AG40,AH40),0)</f>
        <v>29</v>
      </c>
      <c r="AN40" s="10" t="s">
        <v>174</v>
      </c>
      <c r="AO40" s="10">
        <f>(V40+X40+Y40+Z40+C40+E40+F40+G40)/8</f>
        <v>6.625</v>
      </c>
      <c r="AP40" s="10">
        <f>(B40+H40+U40+AA40)/4</f>
        <v>3.75</v>
      </c>
      <c r="AQ40" s="10">
        <f>(W40+AB40+AC40+AD40+D40+I40+J40+K40)/8</f>
        <v>5.625</v>
      </c>
      <c r="AR40" s="10">
        <f>(D40+W40+G40+Z40)/4</f>
        <v>3.75</v>
      </c>
      <c r="AS40" s="10">
        <f>ROUND(0.5*(10/3)*(AO40+AP40+AQ40)+(1-0.5)*10*MIN(AO40,AP40,AQ40,AR40),1)</f>
        <v>45.4</v>
      </c>
      <c r="AT40" s="10">
        <f>ROUND((10/3)*(AO40+AP40+AQ40)-10*MIN(AO40,AP40,AQ40,AR40),0)</f>
        <v>16</v>
      </c>
      <c r="AU40" s="10">
        <v>150</v>
      </c>
      <c r="AV40" s="10">
        <v>76568</v>
      </c>
      <c r="AW40" s="10">
        <v>2780</v>
      </c>
      <c r="AX40" s="10">
        <v>927</v>
      </c>
      <c r="AY40" s="17">
        <v>43143</v>
      </c>
      <c r="AZ40" s="10" t="s">
        <v>362</v>
      </c>
      <c r="BA40" s="10" t="s">
        <v>25</v>
      </c>
      <c r="BB40" s="17">
        <v>46121</v>
      </c>
      <c r="BC40" s="10">
        <f>BB40-AY40</f>
        <v>2978</v>
      </c>
      <c r="BD40" s="10">
        <f>ROUND(AV40/BC40,1)</f>
        <v>25.7</v>
      </c>
      <c r="BE40" s="10">
        <f>ROUND(100*AW40/AV40,1)</f>
        <v>3.6</v>
      </c>
      <c r="BF40" s="10">
        <f>ROUND(100*AX40/AV40,1)</f>
        <v>1.2</v>
      </c>
      <c r="BG40" s="10">
        <f>LOOKUP(BC40,$A$47:$A$61,$B$47:$B$61)</f>
        <v>1</v>
      </c>
      <c r="BH40" s="10">
        <v>59</v>
      </c>
      <c r="BI40" s="10" t="s">
        <v>220</v>
      </c>
      <c r="BJ40" s="10">
        <f>BD40*BG40</f>
        <v>25.7</v>
      </c>
      <c r="BK40" s="10" t="s">
        <v>231</v>
      </c>
      <c r="BL40" s="3" t="s">
        <v>363</v>
      </c>
      <c r="BM40" s="3" t="s">
        <v>289</v>
      </c>
      <c r="BN40" s="3" t="s">
        <v>343</v>
      </c>
      <c r="BO40" s="3" t="s">
        <v>344</v>
      </c>
      <c r="BP40" s="10" t="s">
        <v>222</v>
      </c>
      <c r="BQ40" s="3" t="s">
        <v>299</v>
      </c>
      <c r="BR40" s="4" t="s">
        <v>100</v>
      </c>
      <c r="BS40" s="19" t="s">
        <v>99</v>
      </c>
    </row>
    <row r="41" spans="1:71" ht="42.6" customHeight="1" x14ac:dyDescent="0.3">
      <c r="A41" s="4" t="s">
        <v>28</v>
      </c>
      <c r="B41" s="10">
        <v>3</v>
      </c>
      <c r="C41" s="10">
        <v>7</v>
      </c>
      <c r="D41" s="10">
        <v>7</v>
      </c>
      <c r="E41" s="10">
        <v>8</v>
      </c>
      <c r="F41" s="10">
        <v>0</v>
      </c>
      <c r="G41" s="10">
        <v>8</v>
      </c>
      <c r="H41" s="10">
        <v>1</v>
      </c>
      <c r="I41" s="10">
        <v>7</v>
      </c>
      <c r="J41" s="10">
        <v>10</v>
      </c>
      <c r="K41" s="10">
        <v>4</v>
      </c>
      <c r="L41" s="10">
        <f>(C41+E41+F41+G41)/4</f>
        <v>5.75</v>
      </c>
      <c r="M41" s="10">
        <f>(B41+H41)/2</f>
        <v>2</v>
      </c>
      <c r="N41" s="10">
        <f>(D41+I41+J41+K41)/4</f>
        <v>7</v>
      </c>
      <c r="O41" s="10">
        <f>(D41+G41)/2</f>
        <v>7.5</v>
      </c>
      <c r="P41" s="10">
        <f>ROUND((1/3)*(C41+D41+F41),1)</f>
        <v>4.7</v>
      </c>
      <c r="Q41" s="10">
        <f>ROUND((1/4)*(E41+H41+J41+K41),1)</f>
        <v>5.8</v>
      </c>
      <c r="R41" s="10">
        <f>S41-10*MIN(P41,Q41,B41)</f>
        <v>4.6000000000000014</v>
      </c>
      <c r="S41" s="10">
        <f>ROUND(0.5*(10/3)*(L41+M41+N41)+(1-0.5)*10*MIN(L41,M41,N41,O41),1)</f>
        <v>34.6</v>
      </c>
      <c r="T41" s="10">
        <f>ROUND((10/3)*(L41+M41+N41) - 10*MIN(L41,M41,N41,O41),0)</f>
        <v>29</v>
      </c>
      <c r="U41" s="11">
        <v>1</v>
      </c>
      <c r="V41" s="10">
        <v>4</v>
      </c>
      <c r="W41" s="10">
        <v>1</v>
      </c>
      <c r="X41" s="10">
        <v>8</v>
      </c>
      <c r="Y41" s="10">
        <v>8</v>
      </c>
      <c r="Z41" s="10">
        <v>8</v>
      </c>
      <c r="AA41" s="10">
        <v>8</v>
      </c>
      <c r="AB41" s="10">
        <v>2</v>
      </c>
      <c r="AC41" s="10">
        <v>9</v>
      </c>
      <c r="AD41" s="10">
        <v>8</v>
      </c>
      <c r="AE41" s="10">
        <f>(V41+X41+Y41+Z41)/4</f>
        <v>7</v>
      </c>
      <c r="AF41" s="10">
        <f>(U41+AA41)/2</f>
        <v>4.5</v>
      </c>
      <c r="AG41" s="10">
        <f>(W41+AB41+AC41+AD41)/4</f>
        <v>5</v>
      </c>
      <c r="AH41" s="10">
        <f>(W41+Z41)/2</f>
        <v>4.5</v>
      </c>
      <c r="AI41" s="10">
        <f>ROUND((V41+W41+Y41)/3,1)</f>
        <v>4.3</v>
      </c>
      <c r="AJ41" s="10">
        <f>ROUND((X41+AA41+AC41+AD41)/4,1)</f>
        <v>8.3000000000000007</v>
      </c>
      <c r="AK41" s="10">
        <f>AL41-10*MIN(AI41,AJ41,AF41)</f>
        <v>7</v>
      </c>
      <c r="AL41" s="10">
        <f>ROUND(0.5*(10/3)*(AE41+AF41+AG41)+(1-0.5)*10*MIN(AE41,AF41,AG41,AH41),1)</f>
        <v>50</v>
      </c>
      <c r="AM41" s="10">
        <f>ROUND((10/3)*(AE41+AF41+AG41)-10*MIN(AE41,AF41,AG41,AH41),0)</f>
        <v>10</v>
      </c>
      <c r="AN41" s="10" t="s">
        <v>71</v>
      </c>
      <c r="AO41" s="10">
        <f>(V41+X41+Y41+Z41+C41+E41+F41+G41)/8</f>
        <v>6.375</v>
      </c>
      <c r="AP41" s="10">
        <f>(B41+H41+U41+AA41)/4</f>
        <v>3.25</v>
      </c>
      <c r="AQ41" s="10">
        <f>(W41+AB41+AC41+AD41+D41+I41+J41+K41)/8</f>
        <v>6</v>
      </c>
      <c r="AR41" s="10">
        <f>(D41+W41+G41+Z41)/4</f>
        <v>6</v>
      </c>
      <c r="AS41" s="10">
        <f>ROUND(0.5*(10/3)*(AO41+AP41+AQ41)+(1-0.5)*10*MIN(AO41,AP41,AQ41,AR41),1)</f>
        <v>42.3</v>
      </c>
      <c r="AT41" s="10">
        <f>ROUND((10/3)*(AO41+AP41+AQ41)-10*MIN(AO41,AP41,AQ41,AR41),0)</f>
        <v>20</v>
      </c>
      <c r="AU41" s="10"/>
      <c r="AV41" s="10"/>
      <c r="AW41" s="10"/>
      <c r="AX41" s="10"/>
      <c r="AY41" s="10"/>
      <c r="AZ41" s="10"/>
      <c r="BA41" s="10" t="s">
        <v>216</v>
      </c>
      <c r="BB41" s="10"/>
      <c r="BC41" s="10">
        <f>BB41-AY41</f>
        <v>0</v>
      </c>
      <c r="BD41" s="10" t="e">
        <f>ROUND(AV41/BC41,1)</f>
        <v>#DIV/0!</v>
      </c>
      <c r="BE41" s="10" t="e">
        <f>ROUND(100*AW41/AV41,1)</f>
        <v>#DIV/0!</v>
      </c>
      <c r="BF41" s="8" t="e">
        <f>ROUND(100*AX41/AV41,1)</f>
        <v>#DIV/0!</v>
      </c>
      <c r="BG41" s="10">
        <f>LOOKUP(BC41,$A$47:$A$61,$B$47:$B$61)</f>
        <v>0</v>
      </c>
      <c r="BH41" s="10"/>
      <c r="BI41" s="10"/>
      <c r="BJ41" s="10" t="e">
        <f>BD41*BG41</f>
        <v>#DIV/0!</v>
      </c>
      <c r="BK41" s="10"/>
      <c r="BL41" s="3"/>
      <c r="BM41" s="3"/>
      <c r="BN41" s="3"/>
      <c r="BO41" s="3"/>
      <c r="BP41" s="10"/>
      <c r="BQ41" s="3"/>
      <c r="BR41" s="4" t="s">
        <v>121</v>
      </c>
      <c r="BS41" s="20" t="s">
        <v>71</v>
      </c>
    </row>
    <row r="42" spans="1:71" ht="28.2" customHeight="1" x14ac:dyDescent="0.3">
      <c r="A42" s="4" t="s">
        <v>10</v>
      </c>
      <c r="B42" s="10">
        <v>2</v>
      </c>
      <c r="C42" s="10">
        <v>5</v>
      </c>
      <c r="D42" s="10">
        <v>5</v>
      </c>
      <c r="E42" s="10">
        <v>7</v>
      </c>
      <c r="F42" s="10">
        <v>6</v>
      </c>
      <c r="G42" s="10">
        <v>6</v>
      </c>
      <c r="H42" s="10">
        <v>5</v>
      </c>
      <c r="I42" s="10">
        <v>5</v>
      </c>
      <c r="J42" s="10">
        <v>6</v>
      </c>
      <c r="K42" s="10">
        <v>8</v>
      </c>
      <c r="L42" s="10">
        <f>(C42+E42+F42+G42)/4</f>
        <v>6</v>
      </c>
      <c r="M42" s="10">
        <f>(B42+H42)/2</f>
        <v>3.5</v>
      </c>
      <c r="N42" s="10">
        <f>(D42+I42+J42+K42)/4</f>
        <v>6</v>
      </c>
      <c r="O42" s="10">
        <f>(D42+G42)/2</f>
        <v>5.5</v>
      </c>
      <c r="P42" s="10">
        <f>ROUND((1/3)*(C42+D42+F42),1)</f>
        <v>5.3</v>
      </c>
      <c r="Q42" s="10">
        <f>ROUND((1/4)*(E42+H42+J42+K42),1)</f>
        <v>6.5</v>
      </c>
      <c r="R42" s="10">
        <f>S42-10*MIN(P42,Q42,B42)</f>
        <v>23.299999999999997</v>
      </c>
      <c r="S42" s="10">
        <f>ROUND(0.5*(10/3)*(L42+M42+N42)+(1-0.5)*10*MIN(L42,M42,N42,O42),1)</f>
        <v>43.3</v>
      </c>
      <c r="T42" s="10">
        <f>ROUND((10/3)*(L42+M42+N42) - 10*MIN(L42,M42,N42,O42),0)</f>
        <v>17</v>
      </c>
      <c r="U42" s="11">
        <v>2</v>
      </c>
      <c r="V42" s="10">
        <v>7</v>
      </c>
      <c r="W42" s="10">
        <v>4</v>
      </c>
      <c r="X42" s="10">
        <v>6</v>
      </c>
      <c r="Y42" s="10">
        <v>6</v>
      </c>
      <c r="Z42" s="10">
        <v>8</v>
      </c>
      <c r="AA42" s="10">
        <v>4</v>
      </c>
      <c r="AB42" s="10">
        <v>6</v>
      </c>
      <c r="AC42" s="10">
        <v>6</v>
      </c>
      <c r="AD42" s="10">
        <v>8</v>
      </c>
      <c r="AE42" s="10">
        <f>(V42+X42+Y42+Z42)/4</f>
        <v>6.75</v>
      </c>
      <c r="AF42" s="10">
        <f>(U42+AA42)/2</f>
        <v>3</v>
      </c>
      <c r="AG42" s="10">
        <f>(W42+AB42+AC42+AD42)/4</f>
        <v>6</v>
      </c>
      <c r="AH42" s="10">
        <f>(W42+Z42)/2</f>
        <v>6</v>
      </c>
      <c r="AI42" s="10">
        <f>ROUND((V42+W42+Y42)/3,1)</f>
        <v>5.7</v>
      </c>
      <c r="AJ42" s="10">
        <f>ROUND((X42+AA42+AC42+AD42)/4,1)</f>
        <v>6</v>
      </c>
      <c r="AK42" s="10">
        <f>AL42-10*MIN(AI42,AJ42,AF42)</f>
        <v>11.299999999999997</v>
      </c>
      <c r="AL42" s="10">
        <f>ROUND(0.5*(10/3)*(AE42+AF42+AG42)+(1-0.5)*10*MIN(AE42,AF42,AG42,AH42),1)</f>
        <v>41.3</v>
      </c>
      <c r="AM42" s="10">
        <f>ROUND((10/3)*(AE42+AF42+AG42)-10*MIN(AE42,AF42,AG42,AH42),0)</f>
        <v>23</v>
      </c>
      <c r="AN42" s="10" t="s">
        <v>174</v>
      </c>
      <c r="AO42" s="10">
        <f>(V42+X42+Y42+Z42+C42+E42+F42+G42)/8</f>
        <v>6.375</v>
      </c>
      <c r="AP42" s="10">
        <f>(B42+H42+U42+AA42)/4</f>
        <v>3.25</v>
      </c>
      <c r="AQ42" s="10">
        <f>(W42+AB42+AC42+AD42+D42+I42+J42+K42)/8</f>
        <v>6</v>
      </c>
      <c r="AR42" s="10">
        <f>(D42+W42+G42+Z42)/4</f>
        <v>5.75</v>
      </c>
      <c r="AS42" s="10">
        <f>ROUND(0.5*(10/3)*(AO42+AP42+AQ42)+(1-0.5)*10*MIN(AO42,AP42,AQ42,AR42),1)</f>
        <v>42.3</v>
      </c>
      <c r="AT42" s="10">
        <f>ROUND((10/3)*(AO42+AP42+AQ42)-10*MIN(AO42,AP42,AQ42,AR42),0)</f>
        <v>20</v>
      </c>
      <c r="AU42" s="10">
        <v>144</v>
      </c>
      <c r="AV42" s="10">
        <v>40283</v>
      </c>
      <c r="AW42" s="10">
        <v>1417</v>
      </c>
      <c r="AX42" s="10">
        <v>399</v>
      </c>
      <c r="AY42" s="17">
        <v>42771</v>
      </c>
      <c r="AZ42" s="10" t="s">
        <v>198</v>
      </c>
      <c r="BA42" s="10" t="s">
        <v>27</v>
      </c>
      <c r="BB42" s="17">
        <v>46121</v>
      </c>
      <c r="BC42" s="10">
        <f>BB42-AY42</f>
        <v>3350</v>
      </c>
      <c r="BD42" s="10">
        <f>ROUND(AV42/BC42,1)</f>
        <v>12</v>
      </c>
      <c r="BE42" s="10">
        <f>ROUND(100*AW42/AV42,1)</f>
        <v>3.5</v>
      </c>
      <c r="BF42" s="10">
        <f>ROUND(100*AX42/AV42,1)</f>
        <v>1</v>
      </c>
      <c r="BG42" s="10">
        <f>LOOKUP(BC42,$A$47:$A$61,$B$47:$B$61)</f>
        <v>1</v>
      </c>
      <c r="BH42" s="10">
        <v>72</v>
      </c>
      <c r="BI42" s="10" t="s">
        <v>220</v>
      </c>
      <c r="BJ42" s="10">
        <f>BD42*BG42</f>
        <v>12</v>
      </c>
      <c r="BK42" s="10" t="s">
        <v>134</v>
      </c>
      <c r="BL42" s="3" t="s">
        <v>371</v>
      </c>
      <c r="BM42" s="3" t="s">
        <v>260</v>
      </c>
      <c r="BN42" s="3" t="s">
        <v>261</v>
      </c>
      <c r="BO42" s="3" t="s">
        <v>262</v>
      </c>
      <c r="BP42" s="10" t="s">
        <v>225</v>
      </c>
      <c r="BQ42" s="3" t="s">
        <v>284</v>
      </c>
      <c r="BR42" s="4" t="s">
        <v>93</v>
      </c>
      <c r="BS42" s="19" t="s">
        <v>92</v>
      </c>
    </row>
    <row r="43" spans="1:71" ht="28.8" customHeight="1" x14ac:dyDescent="0.3">
      <c r="A43" s="4" t="s">
        <v>8</v>
      </c>
      <c r="B43" s="10">
        <v>1</v>
      </c>
      <c r="C43" s="10">
        <v>3</v>
      </c>
      <c r="D43" s="10">
        <v>5</v>
      </c>
      <c r="E43" s="10">
        <v>7</v>
      </c>
      <c r="F43" s="10">
        <v>7</v>
      </c>
      <c r="G43" s="10">
        <v>7</v>
      </c>
      <c r="H43" s="10">
        <v>3</v>
      </c>
      <c r="I43" s="10">
        <v>6</v>
      </c>
      <c r="J43" s="10">
        <v>7</v>
      </c>
      <c r="K43" s="10">
        <v>8</v>
      </c>
      <c r="L43" s="10">
        <f>(C43+E43+F43+G43)/4</f>
        <v>6</v>
      </c>
      <c r="M43" s="10">
        <f>(B43+H43)/2</f>
        <v>2</v>
      </c>
      <c r="N43" s="10">
        <f>(D43+I43+J43+K43)/4</f>
        <v>6.5</v>
      </c>
      <c r="O43" s="10">
        <f>(D43+G43)/2</f>
        <v>6</v>
      </c>
      <c r="P43" s="10">
        <f>ROUND((1/3)*(C43+D43+F43),1)</f>
        <v>5</v>
      </c>
      <c r="Q43" s="10">
        <f>ROUND((1/4)*(E43+H43+J43+K43),1)</f>
        <v>6.3</v>
      </c>
      <c r="R43" s="10">
        <f>S43-10*MIN(P43,Q43,B43)</f>
        <v>24.200000000000003</v>
      </c>
      <c r="S43" s="10">
        <f>ROUND(0.5*(10/3)*(L43+M43+N43)+(1-0.5)*10*MIN(L43,M43,N43,O43),1)</f>
        <v>34.200000000000003</v>
      </c>
      <c r="T43" s="10">
        <f>ROUND((10/3)*(L43+M43+N43) - 10*MIN(L43,M43,N43,O43),0)</f>
        <v>28</v>
      </c>
      <c r="U43" s="11">
        <v>1</v>
      </c>
      <c r="V43" s="10">
        <v>3</v>
      </c>
      <c r="W43" s="10">
        <v>5</v>
      </c>
      <c r="X43" s="10">
        <v>6.5</v>
      </c>
      <c r="Y43" s="10">
        <v>7</v>
      </c>
      <c r="Z43" s="10">
        <v>7</v>
      </c>
      <c r="AA43" s="10">
        <v>3</v>
      </c>
      <c r="AB43" s="10">
        <v>7</v>
      </c>
      <c r="AC43" s="10">
        <v>7</v>
      </c>
      <c r="AD43" s="10">
        <v>7</v>
      </c>
      <c r="AE43" s="10">
        <f>(V43+X43+Y43+Z43)/4</f>
        <v>5.875</v>
      </c>
      <c r="AF43" s="10">
        <f>(U43+AA43)/2</f>
        <v>2</v>
      </c>
      <c r="AG43" s="10">
        <f>(W43+AB43+AC43+AD43)/4</f>
        <v>6.5</v>
      </c>
      <c r="AH43" s="10">
        <f>(W43+Z43)/2</f>
        <v>6</v>
      </c>
      <c r="AI43" s="10">
        <f>ROUND((V43+W43+Y43)/3,1)</f>
        <v>5</v>
      </c>
      <c r="AJ43" s="10">
        <f>ROUND((X43+AA43+AC43+AD43)/4,1)</f>
        <v>5.9</v>
      </c>
      <c r="AK43" s="10">
        <f>AL43-10*MIN(AI43,AJ43,AF43)</f>
        <v>14</v>
      </c>
      <c r="AL43" s="10">
        <f>ROUND(0.5*(10/3)*(AE43+AF43+AG43)+(1-0.5)*10*MIN(AE43,AF43,AG43,AH43),1)</f>
        <v>34</v>
      </c>
      <c r="AM43" s="10">
        <f>ROUND((10/3)*(AE43+AF43+AG43)-10*MIN(AE43,AF43,AG43,AH43),0)</f>
        <v>28</v>
      </c>
      <c r="AN43" s="10" t="s">
        <v>174</v>
      </c>
      <c r="AO43" s="10">
        <f>(V43+X43+Y43+Z43+C43+E43+F43+G43)/8</f>
        <v>5.9375</v>
      </c>
      <c r="AP43" s="10">
        <f>(B43+H43+U43+AA43)/4</f>
        <v>2</v>
      </c>
      <c r="AQ43" s="10">
        <f>(W43+AB43+AC43+AD43+D43+I43+J43+K43)/8</f>
        <v>6.5</v>
      </c>
      <c r="AR43" s="10">
        <f>(D43+W43+G43+Z43)/4</f>
        <v>6</v>
      </c>
      <c r="AS43" s="10">
        <f>ROUND(0.5*(10/3)*(AO43+AP43+AQ43)+(1-0.5)*10*MIN(AO43,AP43,AQ43,AR43),1)</f>
        <v>34.1</v>
      </c>
      <c r="AT43" s="10">
        <f>ROUND((10/3)*(AO43+AP43+AQ43)-10*MIN(AO43,AP43,AQ43,AR43),0)</f>
        <v>28</v>
      </c>
      <c r="AU43" s="10">
        <v>108</v>
      </c>
      <c r="AV43" s="10">
        <v>54743</v>
      </c>
      <c r="AW43" s="10">
        <v>1635</v>
      </c>
      <c r="AX43" s="10">
        <v>783</v>
      </c>
      <c r="AY43" s="17">
        <v>44820</v>
      </c>
      <c r="AZ43" s="10" t="s">
        <v>198</v>
      </c>
      <c r="BA43" s="10" t="s">
        <v>27</v>
      </c>
      <c r="BB43" s="17">
        <v>46121</v>
      </c>
      <c r="BC43" s="10">
        <f>BB43-AY43</f>
        <v>1301</v>
      </c>
      <c r="BD43" s="10">
        <f>ROUND(AV43/BC43,1)</f>
        <v>42.1</v>
      </c>
      <c r="BE43" s="10">
        <f>ROUND(100*AW43/AV43,1)</f>
        <v>3</v>
      </c>
      <c r="BF43" s="10">
        <f>ROUND(100*AX43/AV43,1)</f>
        <v>1.4</v>
      </c>
      <c r="BG43" s="10">
        <f>LOOKUP(BC43,$A$47:$A$61,$B$47:$B$61)</f>
        <v>0.97</v>
      </c>
      <c r="BH43" s="10">
        <v>60</v>
      </c>
      <c r="BI43" s="10" t="s">
        <v>221</v>
      </c>
      <c r="BJ43" s="10">
        <f>BD43*BG43</f>
        <v>40.837000000000003</v>
      </c>
      <c r="BK43" s="10" t="s">
        <v>231</v>
      </c>
      <c r="BL43" s="3" t="s">
        <v>372</v>
      </c>
      <c r="BM43" s="3" t="s">
        <v>373</v>
      </c>
      <c r="BN43" s="3" t="s">
        <v>247</v>
      </c>
      <c r="BO43" s="3" t="s">
        <v>248</v>
      </c>
      <c r="BP43" s="10" t="s">
        <v>225</v>
      </c>
      <c r="BQ43" s="3" t="s">
        <v>276</v>
      </c>
      <c r="BR43" s="4" t="s">
        <v>82</v>
      </c>
      <c r="BS43" s="19" t="s">
        <v>81</v>
      </c>
    </row>
    <row r="44" spans="1:71" ht="27.6" customHeight="1" x14ac:dyDescent="0.3">
      <c r="A44" s="4" t="s">
        <v>32</v>
      </c>
      <c r="B44" s="10">
        <v>3</v>
      </c>
      <c r="C44" s="10">
        <v>6</v>
      </c>
      <c r="D44" s="10">
        <v>6</v>
      </c>
      <c r="E44" s="10">
        <v>2</v>
      </c>
      <c r="F44" s="10">
        <v>0</v>
      </c>
      <c r="G44" s="10">
        <v>5</v>
      </c>
      <c r="H44" s="10">
        <v>1</v>
      </c>
      <c r="I44" s="10">
        <v>3</v>
      </c>
      <c r="J44" s="10">
        <v>7</v>
      </c>
      <c r="K44" s="10">
        <v>3</v>
      </c>
      <c r="L44" s="10">
        <f>(C44+E44+F44+G44)/4</f>
        <v>3.25</v>
      </c>
      <c r="M44" s="10">
        <f>(B44+H44)/2</f>
        <v>2</v>
      </c>
      <c r="N44" s="10">
        <f>(D44+I44+J44+K44)/4</f>
        <v>4.75</v>
      </c>
      <c r="O44" s="10">
        <f>(D44+G44)/2</f>
        <v>5.5</v>
      </c>
      <c r="P44" s="10">
        <f>ROUND((1/3)*(C44+D44+F44),1)</f>
        <v>4</v>
      </c>
      <c r="Q44" s="10">
        <f>ROUND((1/4)*(E44+H44+J44+K44),1)</f>
        <v>3.3</v>
      </c>
      <c r="R44" s="10">
        <f>S44-10*MIN(P44,Q44,B44)</f>
        <v>-3.3000000000000007</v>
      </c>
      <c r="S44" s="10">
        <f>ROUND(0.5*(10/3)*(L44+M44+N44)+(1-0.5)*10*MIN(L44,M44,N44,O44),1)</f>
        <v>26.7</v>
      </c>
      <c r="T44" s="10">
        <f>ROUND((10/3)*(L44+M44+N44) - 10*MIN(L44,M44,N44,O44),0)</f>
        <v>13</v>
      </c>
      <c r="U44" s="11">
        <v>1</v>
      </c>
      <c r="V44" s="10">
        <v>3</v>
      </c>
      <c r="W44" s="10">
        <v>2</v>
      </c>
      <c r="X44" s="10">
        <v>6</v>
      </c>
      <c r="Y44" s="10">
        <v>7</v>
      </c>
      <c r="Z44" s="10">
        <v>2</v>
      </c>
      <c r="AA44" s="10">
        <v>5</v>
      </c>
      <c r="AB44" s="10">
        <v>2</v>
      </c>
      <c r="AC44" s="10">
        <v>7</v>
      </c>
      <c r="AD44" s="10">
        <v>4</v>
      </c>
      <c r="AE44" s="10">
        <f>(V44+X44+Y44+Z44)/4</f>
        <v>4.5</v>
      </c>
      <c r="AF44" s="10">
        <f>(U44+AA44)/2</f>
        <v>3</v>
      </c>
      <c r="AG44" s="10">
        <f>(W44+AB44+AC44+AD44)/4</f>
        <v>3.75</v>
      </c>
      <c r="AH44" s="10">
        <f>(W44+Z44)/2</f>
        <v>2</v>
      </c>
      <c r="AI44" s="10">
        <f>ROUND((V44+W44+Y44)/3,1)</f>
        <v>4</v>
      </c>
      <c r="AJ44" s="10">
        <f>ROUND((X44+AA44+AC44+AD44)/4,1)</f>
        <v>5.5</v>
      </c>
      <c r="AK44" s="10">
        <f>AL44-10*MIN(AI44,AJ44,AF44)</f>
        <v>-1.1999999999999993</v>
      </c>
      <c r="AL44" s="10">
        <f>ROUND(0.5*(10/3)*(AE44+AF44+AG44)+(1-0.5)*10*MIN(AE44,AF44,AG44,AH44),1)</f>
        <v>28.8</v>
      </c>
      <c r="AM44" s="10">
        <f>ROUND((10/3)*(AE44+AF44+AG44)-10*MIN(AE44,AF44,AG44,AH44),0)</f>
        <v>18</v>
      </c>
      <c r="AN44" s="10" t="s">
        <v>71</v>
      </c>
      <c r="AO44" s="10">
        <f>(V44+X44+Y44+Z44+C44+E44+F44+G44)/8</f>
        <v>3.875</v>
      </c>
      <c r="AP44" s="10">
        <f>(B44+H44+U44+AA44)/4</f>
        <v>2.5</v>
      </c>
      <c r="AQ44" s="10">
        <f>(W44+AB44+AC44+AD44+D44+I44+J44+K44)/8</f>
        <v>4.25</v>
      </c>
      <c r="AR44" s="10">
        <f>(D44+W44+G44+Z44)/4</f>
        <v>3.75</v>
      </c>
      <c r="AS44" s="10">
        <f>ROUND(0.5*(10/3)*(AO44+AP44+AQ44)+(1-0.5)*10*MIN(AO44,AP44,AQ44,AR44),1)</f>
        <v>30.2</v>
      </c>
      <c r="AT44" s="10">
        <f>ROUND((10/3)*(AO44+AP44+AQ44)-10*MIN(AO44,AP44,AQ44,AR44),0)</f>
        <v>10</v>
      </c>
      <c r="AU44" s="10"/>
      <c r="AV44" s="10"/>
      <c r="AW44" s="10"/>
      <c r="AX44" s="10"/>
      <c r="AY44" s="10"/>
      <c r="AZ44" s="10"/>
      <c r="BA44" s="10" t="s">
        <v>216</v>
      </c>
      <c r="BB44" s="10"/>
      <c r="BC44" s="10">
        <f>BB44-AY44</f>
        <v>0</v>
      </c>
      <c r="BD44" s="10" t="e">
        <f>ROUND(AV44/BC44,1)</f>
        <v>#DIV/0!</v>
      </c>
      <c r="BE44" s="10" t="e">
        <f>ROUND(100*AW44/AV44,1)</f>
        <v>#DIV/0!</v>
      </c>
      <c r="BF44" s="8" t="e">
        <f>ROUND(100*AX44/AV44,1)</f>
        <v>#DIV/0!</v>
      </c>
      <c r="BG44" s="10">
        <f>LOOKUP(BC44,$A$47:$A$61,$B$47:$B$61)</f>
        <v>0</v>
      </c>
      <c r="BH44" s="10"/>
      <c r="BI44" s="10"/>
      <c r="BJ44" s="10" t="e">
        <f>BD44*BG44</f>
        <v>#DIV/0!</v>
      </c>
      <c r="BK44" s="10"/>
      <c r="BL44" s="3"/>
      <c r="BM44" s="3"/>
      <c r="BN44" s="3"/>
      <c r="BO44" s="3"/>
      <c r="BP44" s="10"/>
      <c r="BQ44" s="3"/>
      <c r="BR44" s="4" t="s">
        <v>114</v>
      </c>
      <c r="BS44" s="20" t="s">
        <v>71</v>
      </c>
    </row>
    <row r="45" spans="1:71" ht="22.8" x14ac:dyDescent="0.4">
      <c r="A45" s="6"/>
      <c r="B45" s="6"/>
      <c r="C45" s="6"/>
      <c r="D45" s="6"/>
      <c r="E45" s="6"/>
      <c r="F45" s="6"/>
      <c r="G45" s="6"/>
      <c r="H45" s="6"/>
      <c r="I45" s="6"/>
      <c r="J45" s="6"/>
      <c r="K45" s="6"/>
      <c r="L45" s="6"/>
      <c r="M45" s="6"/>
      <c r="N45" s="6"/>
      <c r="O45" s="6"/>
      <c r="P45" s="6"/>
      <c r="Q45" s="6"/>
      <c r="R45" s="6"/>
      <c r="S45" s="6"/>
      <c r="T45" s="6"/>
      <c r="U45" s="12"/>
      <c r="V45" s="6"/>
      <c r="W45" s="6"/>
      <c r="X45" s="6"/>
    </row>
    <row r="46" spans="1:71" ht="22.8" x14ac:dyDescent="0.4">
      <c r="A46" s="18" t="s">
        <v>202</v>
      </c>
      <c r="B46" s="18" t="s">
        <v>217</v>
      </c>
      <c r="C46" s="6"/>
      <c r="D46" s="6"/>
      <c r="E46" s="6"/>
      <c r="F46" s="6"/>
      <c r="G46" s="6"/>
      <c r="H46" s="6"/>
      <c r="I46" s="6"/>
      <c r="J46" s="6"/>
      <c r="K46" s="6"/>
      <c r="L46" s="6"/>
      <c r="M46" s="6"/>
      <c r="N46" s="6"/>
      <c r="O46" s="6"/>
      <c r="P46" s="6"/>
      <c r="Q46" s="6"/>
      <c r="R46" s="6"/>
      <c r="S46" s="6"/>
      <c r="T46" s="6"/>
      <c r="U46" s="12"/>
      <c r="V46" s="6"/>
      <c r="W46" s="6"/>
      <c r="X46" s="6"/>
    </row>
    <row r="47" spans="1:71" ht="22.8" x14ac:dyDescent="0.4">
      <c r="A47" s="10">
        <v>0</v>
      </c>
      <c r="B47" s="10">
        <v>0</v>
      </c>
      <c r="C47" s="6"/>
      <c r="D47" s="6"/>
      <c r="E47" s="6"/>
      <c r="F47" s="6"/>
      <c r="G47" s="6"/>
      <c r="H47" s="6"/>
      <c r="I47" s="6"/>
      <c r="J47" s="6"/>
      <c r="K47" s="6"/>
      <c r="L47" s="6"/>
      <c r="M47" s="6"/>
      <c r="N47" s="6"/>
      <c r="O47" s="6"/>
      <c r="P47" s="6"/>
      <c r="Q47" s="6"/>
      <c r="R47" s="6"/>
      <c r="S47" s="6"/>
      <c r="T47" s="6"/>
      <c r="U47" s="12"/>
      <c r="V47" s="6"/>
      <c r="W47" s="6"/>
      <c r="X47" s="6"/>
    </row>
    <row r="48" spans="1:71" ht="22.8" x14ac:dyDescent="0.4">
      <c r="A48" s="10">
        <v>7</v>
      </c>
      <c r="B48" s="10">
        <v>0.15</v>
      </c>
      <c r="C48" s="6"/>
      <c r="D48" s="6"/>
      <c r="E48" s="6"/>
      <c r="F48" s="6"/>
      <c r="G48" s="6"/>
      <c r="H48" s="6"/>
      <c r="I48" s="6"/>
      <c r="J48" s="6"/>
      <c r="K48" s="6"/>
      <c r="L48" s="6"/>
      <c r="M48" s="6"/>
      <c r="N48" s="6"/>
      <c r="O48" s="6"/>
      <c r="P48" s="6"/>
      <c r="Q48" s="6"/>
      <c r="R48" s="6"/>
      <c r="S48" s="6"/>
      <c r="T48" s="6"/>
      <c r="U48" s="12"/>
      <c r="V48" s="2"/>
      <c r="W48" s="1"/>
      <c r="X48" s="1"/>
      <c r="Y48" s="1"/>
      <c r="Z48" s="1"/>
      <c r="AA48" s="1"/>
      <c r="AB48" s="1"/>
    </row>
    <row r="49" spans="1:28" ht="22.8" x14ac:dyDescent="0.4">
      <c r="A49" s="10">
        <v>14</v>
      </c>
      <c r="B49" s="10">
        <v>0.25</v>
      </c>
      <c r="C49" s="6"/>
      <c r="D49" s="6"/>
      <c r="E49" s="6"/>
      <c r="F49" s="6"/>
      <c r="G49" s="6"/>
      <c r="H49" s="6"/>
      <c r="I49" s="6"/>
      <c r="J49" s="6"/>
      <c r="K49" s="6"/>
      <c r="L49" s="6"/>
      <c r="M49" s="6"/>
      <c r="N49" s="6"/>
      <c r="O49" s="6"/>
      <c r="P49" s="6"/>
      <c r="Q49" s="6"/>
      <c r="R49" s="1"/>
      <c r="S49" s="1"/>
      <c r="T49" s="1"/>
      <c r="U49" s="13"/>
      <c r="V49" s="2"/>
      <c r="W49" s="1"/>
      <c r="X49" s="1"/>
      <c r="Y49" s="1"/>
      <c r="Z49" s="1"/>
      <c r="AA49" s="1"/>
      <c r="AB49" s="1"/>
    </row>
    <row r="50" spans="1:28" ht="22.8" x14ac:dyDescent="0.4">
      <c r="A50" s="10">
        <v>21</v>
      </c>
      <c r="B50" s="10">
        <v>0.33</v>
      </c>
      <c r="C50" s="6"/>
      <c r="D50" s="6"/>
      <c r="E50" s="6"/>
      <c r="F50" s="6"/>
      <c r="G50" s="6"/>
      <c r="H50" s="6"/>
      <c r="I50" s="6"/>
      <c r="J50" s="6"/>
      <c r="K50" s="6"/>
      <c r="L50" s="6"/>
      <c r="M50" s="6"/>
      <c r="N50" s="6"/>
      <c r="O50" s="6"/>
      <c r="P50" s="6"/>
      <c r="Q50" s="6"/>
      <c r="R50" s="1"/>
      <c r="S50" s="1"/>
      <c r="T50" s="1"/>
      <c r="U50" s="13"/>
      <c r="V50" s="2"/>
      <c r="W50" s="1"/>
      <c r="X50" s="1"/>
      <c r="Y50" s="1"/>
      <c r="Z50" s="1"/>
      <c r="AA50" s="1"/>
      <c r="AB50" s="1"/>
    </row>
    <row r="51" spans="1:28" ht="22.8" x14ac:dyDescent="0.4">
      <c r="A51" s="10">
        <v>28</v>
      </c>
      <c r="B51" s="10">
        <v>0.4</v>
      </c>
      <c r="C51" s="6"/>
      <c r="D51" s="6"/>
      <c r="E51" s="6"/>
      <c r="F51" s="6"/>
      <c r="G51" s="6"/>
      <c r="H51" s="6"/>
      <c r="I51" s="6"/>
      <c r="J51" s="6"/>
      <c r="K51" s="6"/>
      <c r="L51" s="6"/>
      <c r="M51" s="6"/>
      <c r="N51" s="6"/>
      <c r="O51" s="6"/>
      <c r="P51" s="6"/>
      <c r="Q51" s="6"/>
      <c r="R51" s="1"/>
      <c r="S51" s="1"/>
      <c r="T51" s="1"/>
      <c r="U51" s="13"/>
      <c r="V51" s="2"/>
      <c r="W51" s="1"/>
      <c r="X51" s="1"/>
      <c r="Y51" s="1"/>
      <c r="Z51" s="1"/>
      <c r="AA51" s="1"/>
      <c r="AB51" s="1"/>
    </row>
    <row r="52" spans="1:28" ht="22.8" x14ac:dyDescent="0.4">
      <c r="A52" s="10">
        <v>61</v>
      </c>
      <c r="B52" s="10">
        <v>0.55000000000000004</v>
      </c>
      <c r="C52" s="1"/>
      <c r="D52" s="1"/>
      <c r="E52" s="1"/>
      <c r="F52" s="1"/>
      <c r="G52" s="1"/>
      <c r="H52" s="1"/>
      <c r="I52" s="1"/>
      <c r="J52" s="1"/>
      <c r="K52" s="1"/>
      <c r="L52" s="6"/>
      <c r="M52" s="1"/>
      <c r="N52" s="1"/>
      <c r="O52" s="1"/>
      <c r="P52" s="1"/>
      <c r="Q52" s="1"/>
      <c r="R52" s="1"/>
      <c r="S52" s="1"/>
      <c r="T52" s="1"/>
      <c r="U52" s="13"/>
      <c r="V52" s="2"/>
      <c r="W52" s="1"/>
      <c r="X52" s="1"/>
      <c r="Y52" s="1"/>
      <c r="Z52" s="1"/>
      <c r="AA52" s="1"/>
      <c r="AB52" s="1"/>
    </row>
    <row r="53" spans="1:28" ht="22.8" x14ac:dyDescent="0.4">
      <c r="A53" s="10">
        <v>92</v>
      </c>
      <c r="B53" s="10">
        <v>0.65</v>
      </c>
      <c r="C53" s="1"/>
      <c r="D53" s="1"/>
      <c r="E53" s="1"/>
      <c r="F53" s="1"/>
      <c r="G53" s="1"/>
      <c r="H53" s="1"/>
      <c r="I53" s="1"/>
      <c r="J53" s="1"/>
      <c r="K53" s="1"/>
      <c r="L53" s="6"/>
      <c r="M53" s="1"/>
      <c r="N53" s="1"/>
      <c r="O53" s="1"/>
      <c r="P53" s="1"/>
      <c r="Q53" s="1"/>
      <c r="R53" s="1"/>
      <c r="S53" s="1"/>
      <c r="T53" s="1"/>
      <c r="U53" s="13"/>
      <c r="V53" s="2"/>
      <c r="W53" s="1"/>
      <c r="X53" s="1"/>
      <c r="Y53" s="1"/>
      <c r="Z53" s="1"/>
      <c r="AA53" s="1"/>
      <c r="AB53" s="1"/>
    </row>
    <row r="54" spans="1:28" ht="22.8" x14ac:dyDescent="0.4">
      <c r="A54" s="10">
        <v>152</v>
      </c>
      <c r="B54" s="10">
        <v>0.74</v>
      </c>
      <c r="C54" s="1"/>
      <c r="D54" s="1"/>
      <c r="E54" s="1"/>
      <c r="F54" s="1"/>
      <c r="G54" s="1"/>
      <c r="H54" s="1"/>
      <c r="I54" s="1"/>
      <c r="J54" s="1"/>
      <c r="K54" s="1"/>
      <c r="L54" s="6"/>
      <c r="M54" s="1"/>
      <c r="N54" s="1"/>
      <c r="O54" s="1"/>
      <c r="P54" s="1"/>
      <c r="Q54" s="1"/>
      <c r="R54" s="1"/>
      <c r="S54" s="1"/>
      <c r="T54" s="1"/>
      <c r="U54" s="13"/>
      <c r="V54" s="2"/>
      <c r="W54" s="1"/>
      <c r="X54" s="1"/>
      <c r="Y54" s="1"/>
      <c r="Z54" s="1"/>
      <c r="AA54" s="1"/>
      <c r="AB54" s="1"/>
    </row>
    <row r="55" spans="1:28" ht="22.8" x14ac:dyDescent="0.4">
      <c r="A55" s="10">
        <v>183</v>
      </c>
      <c r="B55" s="10">
        <v>0.78</v>
      </c>
      <c r="C55" s="1"/>
      <c r="D55" s="1"/>
      <c r="E55" s="1"/>
      <c r="F55" s="1"/>
      <c r="G55" s="1"/>
      <c r="H55" s="1"/>
      <c r="I55" s="1"/>
      <c r="J55" s="1"/>
      <c r="K55" s="1"/>
      <c r="L55" s="6"/>
      <c r="M55" s="1"/>
      <c r="N55" s="1"/>
      <c r="O55" s="1"/>
      <c r="P55" s="1"/>
      <c r="Q55" s="1"/>
      <c r="R55" s="1"/>
      <c r="S55" s="1"/>
      <c r="T55" s="1"/>
      <c r="U55" s="13"/>
      <c r="V55" s="2"/>
      <c r="W55" s="1"/>
      <c r="X55" s="1"/>
      <c r="Y55" s="1"/>
      <c r="Z55" s="1"/>
      <c r="AA55" s="1"/>
      <c r="AB55" s="1"/>
    </row>
    <row r="56" spans="1:28" ht="22.8" x14ac:dyDescent="0.4">
      <c r="A56" s="10">
        <v>365</v>
      </c>
      <c r="B56" s="10">
        <v>0.88</v>
      </c>
      <c r="C56" s="1"/>
      <c r="D56" s="1"/>
      <c r="E56" s="1"/>
      <c r="F56" s="1"/>
      <c r="G56" s="1"/>
      <c r="H56" s="1"/>
      <c r="I56" s="1"/>
      <c r="J56" s="1"/>
      <c r="K56" s="1"/>
      <c r="L56" s="6"/>
      <c r="M56" s="1"/>
      <c r="N56" s="1"/>
      <c r="O56" s="1"/>
      <c r="P56" s="1"/>
      <c r="Q56" s="1"/>
      <c r="R56" s="1"/>
      <c r="S56" s="1"/>
      <c r="T56" s="1"/>
      <c r="U56" s="13"/>
      <c r="V56" s="2"/>
      <c r="W56" s="1"/>
      <c r="X56" s="1"/>
      <c r="Y56" s="1"/>
      <c r="Z56" s="1"/>
      <c r="AA56" s="1"/>
      <c r="AB56" s="1"/>
    </row>
    <row r="57" spans="1:28" ht="22.8" x14ac:dyDescent="0.4">
      <c r="A57" s="10">
        <f>2*365</f>
        <v>730</v>
      </c>
      <c r="B57" s="10">
        <v>0.94</v>
      </c>
      <c r="C57" s="1"/>
      <c r="D57" s="1"/>
      <c r="E57" s="1"/>
      <c r="F57" s="1"/>
      <c r="G57" s="1"/>
      <c r="H57" s="1"/>
      <c r="I57" s="1"/>
      <c r="J57" s="1"/>
      <c r="K57" s="1"/>
      <c r="L57" s="6"/>
      <c r="M57" s="1"/>
      <c r="N57" s="1"/>
      <c r="O57" s="1"/>
      <c r="P57" s="1"/>
      <c r="Q57" s="1"/>
      <c r="V57" s="2"/>
      <c r="W57" s="1"/>
      <c r="X57" s="1"/>
      <c r="Y57" s="1"/>
      <c r="Z57" s="1"/>
      <c r="AA57" s="1"/>
      <c r="AB57" s="1"/>
    </row>
    <row r="58" spans="1:28" ht="22.8" x14ac:dyDescent="0.4">
      <c r="A58" s="10">
        <f>3*365</f>
        <v>1095</v>
      </c>
      <c r="B58" s="10">
        <v>0.97</v>
      </c>
      <c r="C58" s="1"/>
      <c r="D58" s="1"/>
      <c r="E58" s="1"/>
      <c r="F58" s="1"/>
      <c r="G58" s="1"/>
      <c r="H58" s="1"/>
      <c r="I58" s="1"/>
      <c r="J58" s="1"/>
      <c r="K58" s="1"/>
      <c r="L58" s="6"/>
      <c r="M58" s="1"/>
      <c r="N58" s="1"/>
      <c r="O58" s="1"/>
      <c r="P58" s="1"/>
      <c r="Q58" s="1"/>
    </row>
    <row r="59" spans="1:28" ht="22.8" x14ac:dyDescent="0.4">
      <c r="A59" s="10">
        <f>4*365</f>
        <v>1460</v>
      </c>
      <c r="B59" s="10">
        <v>0.98</v>
      </c>
      <c r="C59" s="1"/>
      <c r="D59" s="1"/>
      <c r="E59" s="1"/>
      <c r="F59" s="1"/>
      <c r="G59" s="1"/>
      <c r="H59" s="1"/>
      <c r="I59" s="1"/>
      <c r="J59" s="1"/>
      <c r="K59" s="1"/>
      <c r="L59" s="6"/>
      <c r="M59" s="1"/>
      <c r="N59" s="1"/>
      <c r="O59" s="1"/>
      <c r="P59" s="1"/>
      <c r="Q59" s="1"/>
    </row>
    <row r="60" spans="1:28" ht="21" x14ac:dyDescent="0.3">
      <c r="A60" s="10">
        <f>5*365</f>
        <v>1825</v>
      </c>
      <c r="B60" s="10">
        <v>0.99</v>
      </c>
    </row>
    <row r="61" spans="1:28" ht="21" x14ac:dyDescent="0.3">
      <c r="A61" s="10">
        <f>6*365</f>
        <v>2190</v>
      </c>
      <c r="B61" s="10">
        <v>1</v>
      </c>
    </row>
  </sheetData>
  <phoneticPr fontId="5" type="noConversion"/>
  <hyperlinks>
    <hyperlink ref="BS29" r:id="rId1" xr:uid="{20C2472C-C63B-495A-990F-46778159044D}"/>
    <hyperlink ref="BS2" r:id="rId2" xr:uid="{C536A24E-8B37-45F4-9B2D-F04A8E36898B}"/>
  </hyperlinks>
  <pageMargins left="0.7" right="0.7" top="0.75" bottom="0.75" header="0.3" footer="0.3"/>
  <pageSetup paperSize="9" orientation="portrait" r:id="rId3"/>
  <tableParts count="2">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7663-77C9-4900-930D-69E1D3D95A7D}">
  <dimension ref="A1:A43"/>
  <sheetViews>
    <sheetView topLeftCell="A10" workbookViewId="0">
      <selection activeCell="A25" sqref="A25"/>
    </sheetView>
  </sheetViews>
  <sheetFormatPr defaultRowHeight="14.4" x14ac:dyDescent="0.3"/>
  <sheetData>
    <row r="1" spans="1:1" x14ac:dyDescent="0.3">
      <c r="A1" t="s">
        <v>38</v>
      </c>
    </row>
    <row r="3" spans="1:1" x14ac:dyDescent="0.3">
      <c r="A3" s="5" t="s">
        <v>39</v>
      </c>
    </row>
    <row r="4" spans="1:1" x14ac:dyDescent="0.3">
      <c r="A4" t="s">
        <v>40</v>
      </c>
    </row>
    <row r="5" spans="1:1" x14ac:dyDescent="0.3">
      <c r="A5" t="s">
        <v>41</v>
      </c>
    </row>
    <row r="6" spans="1:1" x14ac:dyDescent="0.3">
      <c r="A6" t="s">
        <v>42</v>
      </c>
    </row>
    <row r="7" spans="1:1" x14ac:dyDescent="0.3">
      <c r="A7" t="s">
        <v>43</v>
      </c>
    </row>
    <row r="8" spans="1:1" x14ac:dyDescent="0.3">
      <c r="A8" t="s">
        <v>44</v>
      </c>
    </row>
    <row r="10" spans="1:1" x14ac:dyDescent="0.3">
      <c r="A10" s="5" t="s">
        <v>45</v>
      </c>
    </row>
    <row r="11" spans="1:1" x14ac:dyDescent="0.3">
      <c r="A11" t="s">
        <v>46</v>
      </c>
    </row>
    <row r="12" spans="1:1" x14ac:dyDescent="0.3">
      <c r="A12" t="s">
        <v>190</v>
      </c>
    </row>
    <row r="13" spans="1:1" x14ac:dyDescent="0.3">
      <c r="A13" t="s">
        <v>47</v>
      </c>
    </row>
    <row r="14" spans="1:1" x14ac:dyDescent="0.3">
      <c r="A14" t="s">
        <v>56</v>
      </c>
    </row>
    <row r="15" spans="1:1" x14ac:dyDescent="0.3">
      <c r="A15" t="s">
        <v>55</v>
      </c>
    </row>
    <row r="17" spans="1:1" x14ac:dyDescent="0.3">
      <c r="A17" s="5" t="s">
        <v>48</v>
      </c>
    </row>
    <row r="18" spans="1:1" x14ac:dyDescent="0.3">
      <c r="A18" t="s">
        <v>54</v>
      </c>
    </row>
    <row r="19" spans="1:1" x14ac:dyDescent="0.3">
      <c r="A19" t="s">
        <v>49</v>
      </c>
    </row>
    <row r="20" spans="1:1" x14ac:dyDescent="0.3">
      <c r="A20" t="s">
        <v>50</v>
      </c>
    </row>
    <row r="21" spans="1:1" x14ac:dyDescent="0.3">
      <c r="A21" t="s">
        <v>51</v>
      </c>
    </row>
    <row r="22" spans="1:1" x14ac:dyDescent="0.3">
      <c r="A22" t="s">
        <v>52</v>
      </c>
    </row>
    <row r="23" spans="1:1" x14ac:dyDescent="0.3">
      <c r="A23" t="s">
        <v>53</v>
      </c>
    </row>
    <row r="25" spans="1:1" x14ac:dyDescent="0.3">
      <c r="A25" s="5" t="s">
        <v>422</v>
      </c>
    </row>
    <row r="26" spans="1:1" x14ac:dyDescent="0.3">
      <c r="A26" t="s">
        <v>149</v>
      </c>
    </row>
    <row r="27" spans="1:1" x14ac:dyDescent="0.3">
      <c r="A27" t="s">
        <v>30</v>
      </c>
    </row>
    <row r="28" spans="1:1" x14ac:dyDescent="0.3">
      <c r="A28" t="s">
        <v>29</v>
      </c>
    </row>
    <row r="29" spans="1:1" x14ac:dyDescent="0.3">
      <c r="A29" t="s">
        <v>34</v>
      </c>
    </row>
    <row r="30" spans="1:1" x14ac:dyDescent="0.3">
      <c r="A30" t="s">
        <v>36</v>
      </c>
    </row>
    <row r="31" spans="1:1" x14ac:dyDescent="0.3">
      <c r="A31" t="s">
        <v>31</v>
      </c>
    </row>
    <row r="32" spans="1:1" x14ac:dyDescent="0.3">
      <c r="A32" t="s">
        <v>35</v>
      </c>
    </row>
    <row r="33" spans="1:1" x14ac:dyDescent="0.3">
      <c r="A33" t="s">
        <v>28</v>
      </c>
    </row>
    <row r="34" spans="1:1" x14ac:dyDescent="0.3">
      <c r="A34" t="s">
        <v>33</v>
      </c>
    </row>
    <row r="35" spans="1:1" x14ac:dyDescent="0.3">
      <c r="A35" t="s">
        <v>32</v>
      </c>
    </row>
    <row r="36" spans="1:1" x14ac:dyDescent="0.3">
      <c r="A36" t="s">
        <v>189</v>
      </c>
    </row>
    <row r="38" spans="1:1" x14ac:dyDescent="0.3">
      <c r="A38" t="s">
        <v>191</v>
      </c>
    </row>
    <row r="39" spans="1:1" x14ac:dyDescent="0.3">
      <c r="A39" t="s">
        <v>57</v>
      </c>
    </row>
    <row r="40" spans="1:1" x14ac:dyDescent="0.3">
      <c r="A40" t="s">
        <v>58</v>
      </c>
    </row>
    <row r="41" spans="1:1" x14ac:dyDescent="0.3">
      <c r="A41" t="s">
        <v>59</v>
      </c>
    </row>
    <row r="43" spans="1:1" x14ac:dyDescent="0.3">
      <c r="A43" t="s">
        <v>192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3ED1A8-2DEA-4C4B-A948-07936CC175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Spearman</vt:lpstr>
      <vt:lpstr>Cronbach Alpha</vt:lpstr>
      <vt:lpstr>Hits Correlation</vt:lpstr>
      <vt:lpstr>Scores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Christiaan Douma</dc:creator>
  <cp:lastModifiedBy>Christiaan Douma</cp:lastModifiedBy>
  <dcterms:created xsi:type="dcterms:W3CDTF">2026-03-05T18:02:21Z</dcterms:created>
  <dcterms:modified xsi:type="dcterms:W3CDTF">2026-05-15T09:19:45Z</dcterms:modified>
</cp:coreProperties>
</file>